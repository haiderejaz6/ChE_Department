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nustedupk0-my.sharepoint.com/personal/haider_ejaz_scme_nust_edu_pk/Documents/Documents/Admin/OBE/ChE_Department/"/>
    </mc:Choice>
  </mc:AlternateContent>
  <xr:revisionPtr revIDLastSave="71" documentId="8_{72BEDB17-DB59-42F8-A005-79DB39BF107B}" xr6:coauthVersionLast="47" xr6:coauthVersionMax="47" xr10:uidLastSave="{DE67A7DF-42DA-4C8D-BCBD-89768438F23A}"/>
  <bookViews>
    <workbookView xWindow="-28920" yWindow="-120" windowWidth="29040" windowHeight="15840" xr2:uid="{9D6AA90D-13A6-48D1-AA58-01D187F8278C}"/>
  </bookViews>
  <sheets>
    <sheet name="Qalam_CLOs" sheetId="1" r:id="rId1"/>
    <sheet name="PEO_and_PLO" sheetId="2" r:id="rId2"/>
  </sheet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204" i="1" l="1"/>
  <c r="I203" i="1"/>
  <c r="I202" i="1"/>
  <c r="I201" i="1"/>
  <c r="I200" i="1"/>
  <c r="I199" i="1"/>
  <c r="I198" i="1"/>
  <c r="I197" i="1"/>
  <c r="I196" i="1"/>
  <c r="I195" i="1"/>
  <c r="I194" i="1"/>
  <c r="I193" i="1"/>
  <c r="I192" i="1"/>
  <c r="I191" i="1"/>
  <c r="I190" i="1"/>
  <c r="I189" i="1"/>
  <c r="I188" i="1"/>
  <c r="I187" i="1"/>
  <c r="I186" i="1"/>
  <c r="I185" i="1"/>
  <c r="I184" i="1"/>
  <c r="I183" i="1"/>
  <c r="I182" i="1"/>
  <c r="I181" i="1"/>
  <c r="I180" i="1"/>
  <c r="I173" i="1"/>
  <c r="I172" i="1"/>
  <c r="I171" i="1"/>
  <c r="I170" i="1"/>
  <c r="I169" i="1"/>
  <c r="I168" i="1"/>
  <c r="I167" i="1"/>
  <c r="I166" i="1"/>
  <c r="I165" i="1"/>
  <c r="I164" i="1"/>
  <c r="I163" i="1"/>
  <c r="I162" i="1"/>
  <c r="I161" i="1"/>
  <c r="I160" i="1"/>
  <c r="I159" i="1"/>
  <c r="I158" i="1"/>
  <c r="I157" i="1"/>
  <c r="I156" i="1"/>
  <c r="I155" i="1"/>
  <c r="I154" i="1"/>
  <c r="I153" i="1"/>
  <c r="I152" i="1"/>
  <c r="I151" i="1"/>
  <c r="I150" i="1"/>
  <c r="I149" i="1"/>
  <c r="I148" i="1"/>
  <c r="I147" i="1"/>
  <c r="I146" i="1"/>
  <c r="I145" i="1"/>
  <c r="I144" i="1"/>
  <c r="I143" i="1"/>
  <c r="I142" i="1"/>
  <c r="I141" i="1"/>
  <c r="I140" i="1"/>
  <c r="I139" i="1"/>
  <c r="I138" i="1"/>
  <c r="I137" i="1"/>
  <c r="I136" i="1"/>
  <c r="I135" i="1"/>
  <c r="I134" i="1"/>
  <c r="I133" i="1"/>
  <c r="I132" i="1"/>
  <c r="I131" i="1"/>
  <c r="I130" i="1"/>
  <c r="I129" i="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2" i="1"/>
  <c r="I21" i="1"/>
  <c r="I20" i="1"/>
  <c r="I19" i="1"/>
  <c r="I18" i="1"/>
  <c r="I17" i="1"/>
  <c r="I16" i="1"/>
  <c r="I15" i="1"/>
  <c r="I14" i="1"/>
  <c r="I13" i="1"/>
  <c r="I12" i="1"/>
  <c r="I11" i="1"/>
  <c r="I10" i="1"/>
  <c r="I9" i="1"/>
  <c r="I8" i="1"/>
  <c r="I7" i="1"/>
  <c r="I6" i="1"/>
  <c r="I5" i="1"/>
  <c r="I4" i="1"/>
  <c r="I3" i="1"/>
  <c r="I2" i="1"/>
</calcChain>
</file>

<file path=xl/sharedStrings.xml><?xml version="1.0" encoding="utf-8"?>
<sst xmlns="http://schemas.openxmlformats.org/spreadsheetml/2006/main" count="1472" uniqueCount="317">
  <si>
    <t>Interprets and modifies data presented in various formats, including but not limited to tables, graphs, charts, and equations, to produce meaningful insights.</t>
  </si>
  <si>
    <t>C-3</t>
  </si>
  <si>
    <t>Medium</t>
  </si>
  <si>
    <t>PLO-2</t>
  </si>
  <si>
    <t>QR-100 - Quantitative Reasoning-I</t>
  </si>
  <si>
    <t>BE Chemical Engineering-25</t>
  </si>
  <si>
    <t>SCME/BCHMLE/2025F</t>
  </si>
  <si>
    <t>CLO-3</t>
  </si>
  <si>
    <t>Solves problems using fundamental mathematical and statistical concepts, demonstrates their applications, and relates them to real-world scenarios.</t>
  </si>
  <si>
    <t>CLO-2</t>
  </si>
  <si>
    <t>Applies fundamental numerical literacy to compute values, demonstrate numerical relationships, and construct accurate data representations.</t>
  </si>
  <si>
    <t>CLO-1</t>
  </si>
  <si>
    <t>Collect data from the experiment and analyse it in the view of theoretical understanding developed during the class.</t>
  </si>
  <si>
    <t>P-3</t>
  </si>
  <si>
    <t>PLO-5</t>
  </si>
  <si>
    <t>PHY-102 - Applied Physics</t>
  </si>
  <si>
    <t>CLO-5</t>
  </si>
  <si>
    <t>Exhibit capability to work in team during the lab activities</t>
  </si>
  <si>
    <t>A-3</t>
  </si>
  <si>
    <t>PLO-9</t>
  </si>
  <si>
    <t>CLO-4</t>
  </si>
  <si>
    <t>Realize the experiment by following instructions by the teacher</t>
  </si>
  <si>
    <t>Discuss the fundamentals of electromagnetic induction and thermometry to demonstrate the working principle of related equipment</t>
  </si>
  <si>
    <t>PLO-1</t>
  </si>
  <si>
    <t>Identify and interpret the core concepts of Newtonian mechanics to solve basic problems of applied physics</t>
  </si>
  <si>
    <t>Initiate experiment by following equipment procedure and safety SOP’s.</t>
  </si>
  <si>
    <t>PLO-8</t>
  </si>
  <si>
    <t>CHE-346 - Particulate Technology</t>
  </si>
  <si>
    <t>BE Chemical Engineering-24</t>
  </si>
  <si>
    <t>SCME/BCHMLE/2024F</t>
  </si>
  <si>
    <t>CLO-6</t>
  </si>
  <si>
    <t>Grind solid particles and perform distribution analysis by use of standards (Tyler mesh standard) for particle size analysis.</t>
  </si>
  <si>
    <t>P-4</t>
  </si>
  <si>
    <t>Analyze the effect of attrition, impact and compression on particle size reduction and determine efficiency of equipment.</t>
  </si>
  <si>
    <t>C-4</t>
  </si>
  <si>
    <t>PLO-4</t>
  </si>
  <si>
    <t xml:space="preserve">Follows Equipment’s standard operating procedure (SOP) for particle size reduction, separation and handling. </t>
  </si>
  <si>
    <t>Extend the concepts of particulate behavior to illustrate the mechanism of mixing and separation of solids</t>
  </si>
  <si>
    <t>Relate the fundamentals of particulate systems to size reduction, transportation and storage of solids</t>
  </si>
  <si>
    <t>Recall the standard experimental procedures and analyze and interpret the results, comparing them with theoretical concepts learned in class to identify any discrepancies and derive valid conclusions</t>
  </si>
  <si>
    <t>CHE-242 - Heat Transfer</t>
  </si>
  <si>
    <t>CLO-7</t>
  </si>
  <si>
    <t>Follows lab safety considerations for operating all kinds of heat exchangers and electrical heating devices and apply them consistently to maintain a safe working environment.</t>
  </si>
  <si>
    <t>PLO-6</t>
  </si>
  <si>
    <t>Demonstrate punctuality and attentive demeanor as an individual or in a team during the whole lab session to improve productivity and meet deadlines</t>
  </si>
  <si>
    <t>Execute the standard startup procedure and set the requisite temperature, flows and pressures by following the established protocols, and collecting data at the appropriate time.</t>
  </si>
  <si>
    <t>Solve and analyze engineering problems pertaining to heat transfer operations</t>
  </si>
  <si>
    <t>Use the knowledge of heat transfer model equations to solve problems related to heat transfer systems</t>
  </si>
  <si>
    <t>Comprehend the fundamentals of heat transfer related to steady state conduction, convection, and radiation</t>
  </si>
  <si>
    <t>C-2</t>
  </si>
  <si>
    <t>Low</t>
  </si>
  <si>
    <t>Relate the knowledge for Mathematical formulation of physical problems and their solutions</t>
  </si>
  <si>
    <t>MATH-243 - Vector Calculus</t>
  </si>
  <si>
    <t>Choose and apply the methods for analytic and approximate solutions of Ordinary and Partial differential equations</t>
  </si>
  <si>
    <t>Comprehend the characterization of differential equations and select the appropriate method for solution</t>
  </si>
  <si>
    <t>Analyze and solve engineering problems pertaining to transport phenomena in industrial processes.</t>
  </si>
  <si>
    <t>C-5</t>
  </si>
  <si>
    <t>High</t>
  </si>
  <si>
    <t>CHE-345 - Transport Phenomena</t>
  </si>
  <si>
    <t>BE Chemical Engineering-23</t>
  </si>
  <si>
    <t>SCME/BCHMLE/2023F</t>
  </si>
  <si>
    <t>Express microscopic and macroscopic mass/energy/momentum balances equation and solve them for several systems applying appropriate conservation statements and boundary conditions</t>
  </si>
  <si>
    <t>Comprehend mechanisms of momentum, heat and mass transport and identify their applications for steady and transient flow systems</t>
  </si>
  <si>
    <t>C4</t>
  </si>
  <si>
    <t>CHE-347 - Chemical Reaction Engineering</t>
  </si>
  <si>
    <t>CLO-8</t>
  </si>
  <si>
    <t>Practice lab safety considerations while preparing reactants and collecting products for any toxic or corrosive substances. Identify any signs of runaway reaction reacting for its mitigation.</t>
  </si>
  <si>
    <t>P3</t>
  </si>
  <si>
    <t>Demonstrate punctuality and attentive demeanor as an individual or in a team during the lab conduct to improve productivity and meet deadlines.</t>
  </si>
  <si>
    <t>Execute the reactor startup procedures by applying appropriate conditions and trace the concentration-time data with precision.</t>
  </si>
  <si>
    <t>Design chemical reactors for various industrial chemical problems.</t>
  </si>
  <si>
    <t>C-6</t>
  </si>
  <si>
    <t>Differentiate homogeneous and heterogeneous reactions, and modify the design parameters for reactor calculations.</t>
  </si>
  <si>
    <t>Apply design equations of ideal reactors to study their performance for homogenous single and multiple reactions.</t>
  </si>
  <si>
    <t>Comprehend the concepts of reaction engineering fundamentals</t>
  </si>
  <si>
    <t>Demonstrates responsible handling of control equipment and participates effectively in group-based experimentation and troubleshooting.</t>
  </si>
  <si>
    <t>PLO 8</t>
  </si>
  <si>
    <t>CHE-323 - Instrumentation &amp; Process Control</t>
  </si>
  <si>
    <t>Analyzes and interprets process response curves (time vs. level, pressure, etc.) in relation to control theory to evaluate performance of control strategies.</t>
  </si>
  <si>
    <t xml:space="preserve">Follows procedures to apply ON/OFF, PI, and PID control modes for achieving set points and accurately adjusts input parameters </t>
  </si>
  <si>
    <t>PLO 4</t>
  </si>
  <si>
    <t>Calibrates automatic process control sensors (flow, pressure, temperature, level) using manual instruments as reference standards.</t>
  </si>
  <si>
    <t>PLO 5</t>
  </si>
  <si>
    <t>Design and explain control loops for process variables, i.e., temperature, pressure, level, etc., of a given industrial process.</t>
  </si>
  <si>
    <t>Solve problems related to open/closed control loop systems</t>
  </si>
  <si>
    <t>Comprehend open/closed loop control systems based on the fundamentals of process dynamics</t>
  </si>
  <si>
    <t>Adjusts and operates experimental units such as evaporators, dryers, and extraction columns under supervision.</t>
  </si>
  <si>
    <t>CHE-349 - Separation Processes II</t>
  </si>
  <si>
    <t>Participate actively and responsibly in teamwork while conducting separation experiments and handling equipment.</t>
  </si>
  <si>
    <t>PLO-10</t>
  </si>
  <si>
    <t>Computes and analyze performance metrics (e.g., drying rate, extraction efficiency) from collected experimental data.</t>
  </si>
  <si>
    <t>Measures key process variables such as temperature, flow rate, and composition during operation of separation process equipment.</t>
  </si>
  <si>
    <t>Solve and analyze complex engineering problems pertaining to SHMT operation</t>
  </si>
  <si>
    <t>Describe the coupled heat and mass transfer equations and apply to design the process equipment’s.</t>
  </si>
  <si>
    <t>Comprehend the principles of simultaneous heat and mass transfer and extend their applications in chemical engineering processes theoretically as well as experimentally.</t>
  </si>
  <si>
    <t>Apply alternatives based on taxable income and market structure</t>
  </si>
  <si>
    <t>PLO-12</t>
  </si>
  <si>
    <t>ECO-130 - Engineering Economics</t>
  </si>
  <si>
    <t>Gain a working knowledge of money management and analyse how to make economics comparisons of alternative engineering projects</t>
  </si>
  <si>
    <t>PLO-11</t>
  </si>
  <si>
    <t>Comprehend the concepts of Engineering Economics</t>
  </si>
  <si>
    <t>Apply algorithms of data science and machine learning using Python</t>
  </si>
  <si>
    <t>CHE-465 - Data Science and Machine Learning in Chemical Engineering</t>
  </si>
  <si>
    <t>BE Chemical Engineering-22</t>
  </si>
  <si>
    <t>SCME/BCHMLE/2022F</t>
  </si>
  <si>
    <t>Use mathematical and statistical theory for decision-making and problem solution.</t>
  </si>
  <si>
    <t>Describe and apply the concepts of linear algebra, probability, and statistics used for data distributions.</t>
  </si>
  <si>
    <t>Devise the practical applications of the theories to human behavior in day-to-day life</t>
  </si>
  <si>
    <t>HU-115 - Principles of Sociology</t>
  </si>
  <si>
    <t>Comprehend the fundamental theories of sociology pertaining to human behaviors</t>
  </si>
  <si>
    <t>Analyze and design gas processing and purification operations.</t>
  </si>
  <si>
    <t>PLO-3</t>
  </si>
  <si>
    <t>CHE-484 - Natural Gas Engineering</t>
  </si>
  <si>
    <t>Comprehend the understanding of gas storage and transmission operations.</t>
  </si>
  <si>
    <t>Infer the basic knowledge about gas processing and gas drilling.</t>
  </si>
  <si>
    <t xml:space="preserve">Apply project management tools, techniques and inventory management methods </t>
  </si>
  <si>
    <t>OTM-456 - Production &amp; Operations Management</t>
  </si>
  <si>
    <t>Use of a variety of problem-solving and forecasting techniques to aid in effective decision making and quality control.</t>
  </si>
  <si>
    <t>Comprehend the process of transforming resources into products and development of its operational strategy.</t>
  </si>
  <si>
    <t>Relate the fundamental concepts of polymer engineering to study the techniques for the synthesis and processing of polymeric materials.</t>
  </si>
  <si>
    <t>CHE-360 - Fundamentals Of Polymer Engineering</t>
  </si>
  <si>
    <t>Explain the fundamentals of polymer engineering: polymer classification, rheology, colligative, thermal, and mechanical properties of the polymers.</t>
  </si>
  <si>
    <t>Explain the practical application of safety and risk management in process industry</t>
  </si>
  <si>
    <t>CHE-425 - Maintenance &amp; Process Safety</t>
  </si>
  <si>
    <t>Describe the key principles of process safety and maintenance of industrial operations</t>
  </si>
  <si>
    <t>Description</t>
  </si>
  <si>
    <t>Domain Level</t>
  </si>
  <si>
    <t>Emphasis Level</t>
  </si>
  <si>
    <t>PLO</t>
  </si>
  <si>
    <t>Scheme Line</t>
  </si>
  <si>
    <t>Study Scheme</t>
  </si>
  <si>
    <t>Program Batch</t>
  </si>
  <si>
    <t>CLO Code</t>
  </si>
  <si>
    <t>Enhancing their professional development and technical knowledge through continuing Education.</t>
  </si>
  <si>
    <t>Leading or participating in efforts to address societal and technical / business challenges</t>
  </si>
  <si>
    <t>Pursuing research and innovation and be able to provide industrial solutions for engineering and technical Problems</t>
  </si>
  <si>
    <t>Have strong competence in chemical engineering resulting in successful careers.</t>
  </si>
  <si>
    <t>PEO-1</t>
  </si>
  <si>
    <t>PEO-2</t>
  </si>
  <si>
    <t>PEO-3</t>
  </si>
  <si>
    <t>PEO-4</t>
  </si>
  <si>
    <t>PLO-7</t>
  </si>
  <si>
    <t>ENGINEERING KNOWLEDGE</t>
  </si>
  <si>
    <t>PROBLEM ANALYSIS</t>
  </si>
  <si>
    <t>DESIGN/DEVELOPMENT OF SOLUTIONS</t>
  </si>
  <si>
    <t>INVESTIGATION</t>
  </si>
  <si>
    <t>MODERN TOOL USAGE</t>
  </si>
  <si>
    <t>THE ENGINEER AND SOCIETY</t>
  </si>
  <si>
    <t>ENVIRONMENT AND SUSTAINABILITY</t>
  </si>
  <si>
    <t>ETHICS</t>
  </si>
  <si>
    <t>INDIVIDUAL AND TEAM WORK</t>
  </si>
  <si>
    <t>COMMUNICATION</t>
  </si>
  <si>
    <t>PROJECT MANAGEMENT</t>
  </si>
  <si>
    <t>LIFELONG LEARNING</t>
  </si>
  <si>
    <t>CH-113 - Inorganic &amp; Organic Chemistry</t>
  </si>
  <si>
    <t>Explain the fundamentals of organic and inorganic chemistry.</t>
  </si>
  <si>
    <t xml:space="preserve">Explain the chemical reactions involved in organic and inorganic synthesis. </t>
  </si>
  <si>
    <t>Apply organic or inorganic synthesis reactions in industrial applications</t>
  </si>
  <si>
    <t>Execute inorganic and organic chemistry laboratory procedures, including titration, salt analysis, recrystallization, liquid-liquid extraction, etc. and qualitative analysis by applying appropriate techniques and recording experimental data accurately.</t>
  </si>
  <si>
    <t>Demonstrate teamwork, punctuality, and professional laboratory conduct while performing experiments collaboratively and completing assigned tasks within the given time.</t>
  </si>
  <si>
    <t>Practice laboratory safety protocols by properly handling chemicals, glassware, and analytical instruments, while identifying and minimizing risks associated with toxic, corrosive, and flammable substances.</t>
  </si>
  <si>
    <t>Analyze and interpret experimental observations and calculated results from inorganic and organic chemistry experiments to compare theoretical concepts, identify discrepancies, and draw valid scientific conclusions.</t>
  </si>
  <si>
    <t>Comprehend the synthesis of a compound in specific chemical industry using basic principles of process flow</t>
  </si>
  <si>
    <t>Explains the interrelation of process variables and yield of desired product in a certain manufacturing process</t>
  </si>
  <si>
    <t>CHE-115 - Chemical Process Industries</t>
  </si>
  <si>
    <t>QR-101 - Quantitative Reasoning-II</t>
  </si>
  <si>
    <t>Understanding of logic and logical reasoning</t>
  </si>
  <si>
    <t>Understanding of basic quantitative modeling and analyses</t>
  </si>
  <si>
    <t>Logical reasoning skills and abilities to apply them to solve quantitative problems and evaluate arguments</t>
  </si>
  <si>
    <t>Ability to critically evaluate quantitative information to make evidence  based decisions through appropriate computational tools</t>
  </si>
  <si>
    <t>CHE-220 - Mass Transfer</t>
  </si>
  <si>
    <t>Comprehend the basic concepts and theories of mass transfer to apply for process separation related problems</t>
  </si>
  <si>
    <t>Apply the knowledge of separation principles for basic design calculations related to gas-liquid absorption and distillation processes</t>
  </si>
  <si>
    <t>Solve and analyze engineering problems pertaining to mass transfer operation</t>
  </si>
  <si>
    <t>ME-124 - Engineering Drawing and Graphics</t>
  </si>
  <si>
    <t>Interpret basic components of engineering drawings and understanding the projection theory </t>
  </si>
  <si>
    <t>Analyse the hidden information in the drawings and breakdown in simpler single view projections </t>
  </si>
  <si>
    <t>P-5</t>
  </si>
  <si>
    <t>Display the ability to construct engineering drawings and models using computer aided drawing (CAD)</t>
  </si>
  <si>
    <t>HU-127 - Ideology and Constitution of Pakistan</t>
  </si>
  <si>
    <t>ENGL-101 - Expository Writing</t>
  </si>
  <si>
    <t>Understand research methods to locate and integrate credible sources into writing.</t>
  </si>
  <si>
    <t>Analyse the rhetorical situation and use effective writing strategies and techniques to persuade readers.</t>
  </si>
  <si>
    <t>HU-132 - Understanding of Quran-II</t>
  </si>
  <si>
    <t>Discuss and explain the meanings of the words of Quran, its phrases and sentences</t>
  </si>
  <si>
    <t>Explain the ideology of Pakistan with reference to contributions of the founding fathers of Pakistan</t>
  </si>
  <si>
    <t>Demonstrate fundamental knowledge about the Constitution of Pakistan 1973 and its evolutionary phases with reference to state structure. Effectively explain about the guiding principles on rights and responsibilities of Pakistani citizens as enshrined in the Constitution of Pakistan 1973</t>
  </si>
  <si>
    <t>CHE-499 - Final Year Design Project-II</t>
  </si>
  <si>
    <t>P-1</t>
  </si>
  <si>
    <t>Ability to identify, formulate, research literature, and analyze complex engineering problems reaching substantiated conclusions using first principles of mathematics, natural sciences and engineering sciences.</t>
  </si>
  <si>
    <t>P-2</t>
  </si>
  <si>
    <t>Ability to design solutions for complex engineering problems and design systems, components, or processes that meet specified needs with appropriate consideration for public health and safety, cultural, societal, and electrical considerations.</t>
  </si>
  <si>
    <t>Ability to create, select and apply appropriate techniques, resources, and modern engineering and IT tools, including prediction and modeling, to complex engineering activities, with an understanding of the limitations.</t>
  </si>
  <si>
    <t>Ability to understand the impact of professional engineering solutions in societal and electrical contexts and demonstrate knowledge of and need for sustainable development.</t>
  </si>
  <si>
    <t>CLO-9</t>
  </si>
  <si>
    <t>Ability to work effectively, as an individual or in a team, on multifaceted and/or multidisciplinary settings.</t>
  </si>
  <si>
    <t>CLO-10</t>
  </si>
  <si>
    <t>P-6</t>
  </si>
  <si>
    <t>Ability to communicate effectively, orally as well as in writing on complex engineering activities with the engineering community and with society at large, such as being able to comprehend and write effective reports and design documentations, make effective presentations, and give and receive clear instructions</t>
  </si>
  <si>
    <t>CLO-11</t>
  </si>
  <si>
    <t>P-7</t>
  </si>
  <si>
    <t>Ability to demonstrate management skills and apply engineering principles to one’s own work, as a member and/or leader in a team to manage projects in a multidisciplinary environment.</t>
  </si>
  <si>
    <t>CLO-12</t>
  </si>
  <si>
    <t>Ability to recognize importance of, and pursue lifelong learning in the broader context of innovation and technological developments.</t>
  </si>
  <si>
    <t>CHE-464 - Computational Fluid Dynamics in Chemical Engineering</t>
  </si>
  <si>
    <t>Develop 2D/3D fluid-flow models by using CFD software.</t>
  </si>
  <si>
    <t>Generate hydrodynamic profiles via CFD-Post processing.</t>
  </si>
  <si>
    <t>A substantial amount of experience using modern CFD software to predict the complex fluid-flow systems behavior is to be given to the student.</t>
  </si>
  <si>
    <t>CSL-402 - Community Service Learning Course</t>
  </si>
  <si>
    <t>Demonstrate ethical, social, and professional responsibilities while applying critical thinking, engineering knowledge, and problem-solving skills to address real-world community challenges, recognizing the importance of lifelong learning and sustainable development.</t>
  </si>
  <si>
    <t>Work effectively in diverse teams, communicate ideas clearly and professionally, and engage collaboratively with community members to develop practical and impactful solutions.</t>
  </si>
  <si>
    <t>CHE-423 - Fuel Engineering</t>
  </si>
  <si>
    <t>Comprehend the properties of different conventional fuels, and describe, compare, and evaluate key fuel properties such as energy density, polluting effect, cost, and availability. Students should be able to evaluate the various advantages and disadvantages of each, forming hypotheses on the likelihood of continued usage.</t>
  </si>
  <si>
    <t>Demonstrate a comprehensive understanding of complex combustion features, being able to describe in detail the following: combustion modes; equilibrium products of combustion; economy-emissions compromises; pollutant compromises; important chemical mechanisms; conservation equations; laminar and turbulent flames.</t>
  </si>
  <si>
    <t>Execute the experimental procedures by applying appropriate techniques, following the established protocols, and demonstrating precision in measurements and observations.</t>
  </si>
  <si>
    <t>Demonstrate an eagerness to work in a team during the lab activities.</t>
  </si>
  <si>
    <t>Follow lab safety protocols attentively and apply them consistently to maintain a safe working environment.</t>
  </si>
  <si>
    <t>Analyze experimental results, comparing them with theoretical concepts learned in class to identify and derive valid conclusions.</t>
  </si>
  <si>
    <t>CHE-451 - Chemical Engineering Plant Design</t>
  </si>
  <si>
    <t>Comprehend and infer the parameters which influence the Chemical Process Plant Design.</t>
  </si>
  <si>
    <t>Apply the engineering concepts for selection, specification and design of process equipment.</t>
  </si>
  <si>
    <t>Compute and Analyze the costing, profitability, and safety parameters of a chemical process plant.</t>
  </si>
  <si>
    <t>CHE-442 - Membrane Technology</t>
  </si>
  <si>
    <t>Explain the fundamentals of membrane technology for separation processes and classify membranes based on materials and preparation methods.</t>
  </si>
  <si>
    <t>Interpret the membrane transport mechanisms and distinguish different membrane modules for their separation performance.</t>
  </si>
  <si>
    <t>Outline the applications of membrane technology and identify membrane process problems (polarization and fouling).</t>
  </si>
  <si>
    <t>CHE-350 - Petroleum Refinery Process</t>
  </si>
  <si>
    <t>Comprehend the compositions, properties, and standard tests to characterize crude oil and refinery products</t>
  </si>
  <si>
    <t>Apply the role of various processing/ axillary units in a refinery for the production of different products.</t>
  </si>
  <si>
    <t>CHE-452 - Chemical Process Design &amp; Simulation</t>
  </si>
  <si>
    <t>Compute process flowsheets comprising of various equipment, i.e., pump, compressor, reactor, distillation column, etc., in Aspen HYSYS environment.</t>
  </si>
  <si>
    <t>Analyze dynamic mode of process models for temperature, pressure, flowrate, and composition control loops.</t>
  </si>
  <si>
    <t>Design and evaluate a plant wide model of a process industry.</t>
  </si>
  <si>
    <t>CHE-344 - Separation Processes I</t>
  </si>
  <si>
    <t>Comprehend the principles of advance separation processes and extend their applications in chemical engineering processes theoretically as well as experimentally.</t>
  </si>
  <si>
    <t>Apply principles of separation process to design the equipment.</t>
  </si>
  <si>
    <t>Solve and analyze engineering problems pertaining to Separation Processes</t>
  </si>
  <si>
    <t>MATH-351 - Numerical Methods</t>
  </si>
  <si>
    <t>State the consequences of finite precision and estimate the amount of error inherent in Numerical methods</t>
  </si>
  <si>
    <t>Apply different computational/numerical techniques to solve Mathematical problems arising in engineering and sciences</t>
  </si>
  <si>
    <t>Apply algorithms for different Numerical techniques</t>
  </si>
  <si>
    <t>CHE-332 - Chemical Engineering Thermodynamics-II</t>
  </si>
  <si>
    <t>Explain the thermodynamics of flow processes and infer the fundamental property relations for different processes and systems.</t>
  </si>
  <si>
    <t>Demonstrate and apply the complete energy balance of different flow processes along with their thermodynamic diagrams.</t>
  </si>
  <si>
    <t>Illustrate thermodynamic analysis of gas mixtures, liquid solutions and two-phase mixtures in order to relate solution properties.</t>
  </si>
  <si>
    <t>Solve and analyse complex engineering problems pertaining to thermodynamics of flow processes in process industries.</t>
  </si>
  <si>
    <t>MGT-271 - Entrepreneurship</t>
  </si>
  <si>
    <t>Screen and examine opportunities for new ventures that add value to the overall economy of the country.</t>
  </si>
  <si>
    <t>Elucidate the factors which can affect the performance of a new venture and assess strategies to overcome those</t>
  </si>
  <si>
    <t>Conceptualize of business models for sustainable investment opportunities through creation of managerial, financial, operational, marketing and planning strategies for the new venture.</t>
  </si>
  <si>
    <t>Realize experiment by following instructions by the teacher</t>
  </si>
  <si>
    <t>Follows lab instructions to ensure safe environment in the lab</t>
  </si>
  <si>
    <t>Collect data from the experiment and analyse it in the view of theoretical understanding developed during the class</t>
  </si>
  <si>
    <t>MATH-121 - Linear Algebra &amp; ODEs</t>
  </si>
  <si>
    <t>Comprehend the concept of multivariable functions and partial derivative and recognize the techniques to solve the equation of several variables.</t>
  </si>
  <si>
    <t>Relate the use of differentiation and integration of several variable functions and implement them to find the area and volume of different geometrical shapes.</t>
  </si>
  <si>
    <t>Comprehend the concept of first order and higher order differential equations and solve the mathematical models of physical systems.</t>
  </si>
  <si>
    <t>CHE-214 - Fluid Mechanics-I</t>
  </si>
  <si>
    <t>Comprehend the flow parameters for compressible and incompressible fluids and select suitable transport system for industrial applications.</t>
  </si>
  <si>
    <t>Apply the principles of dimensional analysis and similitude to establish functional relations between important relevant parameters and apply these to design.</t>
  </si>
  <si>
    <t>Relates the working mechanism of flow measuring devices and pressure losses across these devices when installed in circular pipe. </t>
  </si>
  <si>
    <t>⁠CHE-226 - Programming and Data Science</t>
  </si>
  <si>
    <t>Comprehend the fundamentals of introductory programming, data science concepts, and the application of associated tools.</t>
  </si>
  <si>
    <t>Compute Engineering problems and mathematical results using Python for chemical engineering data.</t>
  </si>
  <si>
    <t>Write Python programs for data analysis and visualization of chemical processes data sets.</t>
  </si>
  <si>
    <t>A-2</t>
  </si>
  <si>
    <t>Perform assigned programming and data analysis lab tasks effectively.</t>
  </si>
  <si>
    <t>Follow standard algorithms and coding practices in chemical engineering applications.</t>
  </si>
  <si>
    <t>CHE-223 - Chemical Engineering Thermodynamics-I</t>
  </si>
  <si>
    <t>Explain the basics of thermodynamics, the state variables and law of thermodynamics to describe the state of a system.</t>
  </si>
  <si>
    <t>Solve and analyze the problem related to thermodynamic behavior and heat effects of pure fluids in various processes using equation of state.</t>
  </si>
  <si>
    <t>CHE-222 - Chemical Engineering Principles-II</t>
  </si>
  <si>
    <t>Comprehend the basic concepts of energy balance and extend them to chemical engineering calculations.</t>
  </si>
  <si>
    <t>Apply the concepts of process principles to solve energy balance problems for single and multiple units.</t>
  </si>
  <si>
    <t>Solve and analyze complex engineering problems pertaining to energy balance of unit operations and processes</t>
  </si>
  <si>
    <t>CCE-401 - Civic and Community Engagement</t>
  </si>
  <si>
    <t>Students will become familiar with various areas of community service (such as community service learning, community service development and community service empowerment), and become aware of relevant ongoing philanthropic activities in the community and social Consciousness.</t>
  </si>
  <si>
    <t>Students will be able to provide different sustainable development approaches to address local or global community challenges.</t>
  </si>
  <si>
    <t>Students will develop sense of responsibility, compassion and empathy towards society and through different community service projects contribute to have a discernible impact on the community.</t>
  </si>
  <si>
    <t>⁠MSE-226 - Engineering Materials</t>
  </si>
  <si>
    <t>Comprehend the classification of the materials and explain crystallographic planes and directions as well as imperfections in materials.</t>
  </si>
  <si>
    <t>Explain the mechanical properties of the materials.</t>
  </si>
  <si>
    <t>Interpret the binary phase diagram.</t>
  </si>
  <si>
    <t>CH-114 - Physical and Analytical Chemistry</t>
  </si>
  <si>
    <t>Explain the fundamentals of physical and analytical chemistry</t>
  </si>
  <si>
    <t>Demonstrate understanding of instrumental techniques</t>
  </si>
  <si>
    <t>Analyze experimental results, comparing them with theoretical concepts learned in class to identify any discrepancies and derive valid conclusions.</t>
  </si>
  <si>
    <t>CHE-103 - Chemical Engineering Principles-I</t>
  </si>
  <si>
    <t>Comprehend the basic concepts of chemical engineering principles and relate them to chemical engineering calculations.</t>
  </si>
  <si>
    <t>Extend the concepts of process principles to solve material balance problems for single and multiple units.</t>
  </si>
  <si>
    <t>HU-101 - Islamic Studies</t>
  </si>
  <si>
    <t>Demonstrate enhanced knowledge. of Islamic foundational beliefs, practices, historical development, spiritual values and ethical principles.</t>
  </si>
  <si>
    <t>Describe basic sources of Islamic law and their application in daily life.</t>
  </si>
  <si>
    <t>ldentify and discuss contemporary issues within the Muslim world including social challenges, gender roles and interfaith interactions.</t>
  </si>
  <si>
    <t>HU-131 - Understanding of Quran-I</t>
  </si>
  <si>
    <t>Discuss and explain the meanings of the words of Quran, its phrases and sentences.</t>
  </si>
  <si>
    <t>CS-117 - Applications of ICT</t>
  </si>
  <si>
    <t>Understand the fundamental concepts, components, and scope of Information and Communications Technologies (ICT) in various fields and industries.</t>
  </si>
  <si>
    <t>Analyze the problem by application of ICT techniques.</t>
  </si>
  <si>
    <t>Apply ICT platforms and tools for different purposes to address basic needs in different domains of daily, academic, and professional life.</t>
  </si>
  <si>
    <t>Demonstrate the ethical and legal considerations in use of ICT platform tools.</t>
  </si>
  <si>
    <t>To demonstrate responsible conduct while working individually as well as in team.</t>
  </si>
  <si>
    <t>ME-105 - Workshop Practice</t>
  </si>
  <si>
    <t>Learn and display fundamental manufacturing processes through demonstration and practice for solutions in the field of manufacturing. </t>
  </si>
  <si>
    <t>Should perform a given task under supervision in response to learnt manufacturing processes, through hands on technique to reproduce. </t>
  </si>
  <si>
    <t>Display and demonstrate the ability to work in a team by performing in group tasks. </t>
  </si>
  <si>
    <t>MATH-101 - Calculus &amp; Analytical Geometry</t>
  </si>
  <si>
    <t>Comprehend the concept of functions, limits and derivative, and recognize the techniques to solve the equation of single variables.</t>
  </si>
  <si>
    <t>Relate the use of differentiation and integration of single variable functions and implement them to find the area and volume applicable to different engineering problems.</t>
  </si>
  <si>
    <t>Comprehend the concept of series and limit comparison tests and solve the mathematical problems.</t>
  </si>
  <si>
    <t>HU-114 - Functional English</t>
  </si>
  <si>
    <t>Interpret and discuss various texts according to one’s own understanding and viewpoint, as well as that of the author or speaker.</t>
  </si>
  <si>
    <t>Demonstrate a firm command on the use of language in expressing and arguing convincingly.</t>
  </si>
  <si>
    <t>Compose well-structured paragraphs and relate short essays communicating the main idea effectively.</t>
  </si>
  <si>
    <t>Lec</t>
  </si>
  <si>
    <t>Lab</t>
  </si>
  <si>
    <t>Semester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</si>
</sst>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8"/>
      <name val="Aptos Narrow"/>
      <family val="2"/>
      <scheme val="minor"/>
    </font>
    <font>
      <sz val="12"/>
      <color rgb="FF000000"/>
      <name val="Times New Roman"/>
      <family val="1"/>
    </font>
    <font>
      <sz val="11"/>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2" fillId="0" borderId="0" xfId="0" applyFont="1" applyAlignment="1">
      <alignment horizontal="left" vertical="center"/>
    </xf>
    <xf numFmtId="0" fontId="0" fillId="0" borderId="0" xfId="0" applyAlignment="1"/>
    <xf numFmtId="0" fontId="3" fillId="0" borderId="0" xfId="0" applyFont="1" applyAlignment="1">
      <alignment horizontal="left"/>
    </xf>
  </cellXfs>
  <cellStyles count="1">
    <cellStyle name="Normal" xfId="0" builtinId="0"/>
  </cellStyles>
  <dxfs count="13">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023564-292C-47F3-82E1-D78443265CED}" name="Table1" displayName="Table1" ref="A1:K1048576" totalsRowShown="0" headerRowDxfId="12" dataDxfId="11">
  <autoFilter ref="A1:K1048576" xr:uid="{F1109AD2-03AB-4FEA-9D33-71C4D31876C3}"/>
  <sortState xmlns:xlrd2="http://schemas.microsoft.com/office/spreadsheetml/2017/richdata2" ref="A2:G1048576">
    <sortCondition ref="A1:A1048576"/>
  </sortState>
  <tableColumns count="11">
    <tableColumn id="5" xr3:uid="{2D410A2D-87AD-410A-B901-F5C65B277033}" name="Lec" dataDxfId="10"/>
    <tableColumn id="6" xr3:uid="{3159EC0B-424F-4AAC-9A8B-A569064B4FC3}" name="Lab" dataDxfId="9"/>
    <tableColumn id="7" xr3:uid="{F108AA97-23F4-4153-BB53-272BC0627F96}" name="Semester" dataDxfId="8"/>
    <tableColumn id="8" xr3:uid="{AB10F36E-126D-43CE-B746-2937DE92D026}" name="CLO Code" dataDxfId="7"/>
    <tableColumn id="9" xr3:uid="{6D1D1A2E-E58C-4953-AFCE-1E9DAFFA10EB}" name="Program Batch" dataDxfId="6"/>
    <tableColumn id="10" xr3:uid="{BC7A5B5B-11E5-46D4-86B5-048573BB4CCD}" name="Study Scheme" dataDxfId="5"/>
    <tableColumn id="11" xr3:uid="{19E13970-F661-4E37-A33B-5F579ED19F6B}" name="Scheme Line" dataDxfId="4"/>
    <tableColumn id="1" xr3:uid="{64A2E5BE-F9FF-401A-8E10-E5CCC122C258}" name="PLO" dataDxfId="3"/>
    <tableColumn id="2" xr3:uid="{C047D582-5119-420A-95CF-0CC9FF7701ED}" name="Emphasis Level" dataDxfId="2"/>
    <tableColumn id="3" xr3:uid="{B683F0DB-3B52-422A-BD90-BCAAFECC30BC}" name="Domain Level" dataDxfId="1"/>
    <tableColumn id="4" xr3:uid="{FC9659CB-3CE0-4420-8540-CD75A8655B62}" name="Description"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CEA14-4F77-426D-849C-B2E9B793F194}">
  <dimension ref="A1:K204"/>
  <sheetViews>
    <sheetView tabSelected="1" workbookViewId="0">
      <selection activeCell="B4" sqref="B4"/>
    </sheetView>
  </sheetViews>
  <sheetFormatPr defaultRowHeight="15" x14ac:dyDescent="0.25"/>
  <cols>
    <col min="1" max="1" width="6.85546875" bestFit="1" customWidth="1"/>
    <col min="2" max="2" width="7" bestFit="1" customWidth="1"/>
    <col min="3" max="3" width="12.28515625" bestFit="1" customWidth="1"/>
    <col min="4" max="4" width="13.5703125" bestFit="1" customWidth="1"/>
    <col min="5" max="5" width="23.7109375" bestFit="1" customWidth="1"/>
    <col min="6" max="6" width="26.42578125" bestFit="1" customWidth="1"/>
    <col min="7" max="7" width="65.7109375" bestFit="1" customWidth="1"/>
    <col min="8" max="8" width="8.42578125" bestFit="1" customWidth="1"/>
    <col min="9" max="9" width="18.5703125" style="2" bestFit="1" customWidth="1"/>
    <col min="10" max="10" width="16.85546875" style="2" bestFit="1" customWidth="1"/>
    <col min="11" max="11" width="255.7109375" style="2" bestFit="1" customWidth="1"/>
  </cols>
  <sheetData>
    <row r="1" spans="1:11" ht="15.75" x14ac:dyDescent="0.25">
      <c r="A1" s="1" t="s">
        <v>314</v>
      </c>
      <c r="B1" s="1" t="s">
        <v>315</v>
      </c>
      <c r="C1" s="1" t="s">
        <v>316</v>
      </c>
      <c r="D1" s="1" t="s">
        <v>132</v>
      </c>
      <c r="E1" s="1" t="s">
        <v>131</v>
      </c>
      <c r="F1" s="1" t="s">
        <v>130</v>
      </c>
      <c r="G1" s="1" t="s">
        <v>129</v>
      </c>
      <c r="H1" s="1" t="s">
        <v>128</v>
      </c>
      <c r="I1" s="1" t="s">
        <v>127</v>
      </c>
      <c r="J1" s="1" t="s">
        <v>126</v>
      </c>
      <c r="K1" s="1" t="s">
        <v>125</v>
      </c>
    </row>
    <row r="2" spans="1:11" ht="15.75" x14ac:dyDescent="0.25">
      <c r="A2" s="1">
        <v>3</v>
      </c>
      <c r="B2" s="1">
        <v>0</v>
      </c>
      <c r="C2" s="1">
        <v>8</v>
      </c>
      <c r="D2" s="1" t="s">
        <v>11</v>
      </c>
      <c r="E2" s="1" t="s">
        <v>104</v>
      </c>
      <c r="F2" s="1" t="s">
        <v>103</v>
      </c>
      <c r="G2" s="1" t="s">
        <v>123</v>
      </c>
      <c r="H2" s="1" t="s">
        <v>23</v>
      </c>
      <c r="I2" s="1" t="str">
        <f t="shared" ref="I2:I22" si="0">IF(OR(RIGHT(J2,1)="1",RIGHT(J2,1)="2"),"Low",
IF(OR(RIGHT(J2,1)="3",RIGHT(J2,1)="4"),"Medium",
IF(OR(RIGHT(J2,1)="5",RIGHT(J2,1)="6"),"High","")))</f>
        <v>Low</v>
      </c>
      <c r="J2" s="1" t="s">
        <v>49</v>
      </c>
      <c r="K2" s="1" t="s">
        <v>124</v>
      </c>
    </row>
    <row r="3" spans="1:11" ht="15.75" x14ac:dyDescent="0.25">
      <c r="A3" s="1">
        <v>3</v>
      </c>
      <c r="B3" s="1">
        <v>0</v>
      </c>
      <c r="C3" s="1">
        <v>8</v>
      </c>
      <c r="D3" s="1" t="s">
        <v>9</v>
      </c>
      <c r="E3" s="1" t="s">
        <v>104</v>
      </c>
      <c r="F3" s="1" t="s">
        <v>103</v>
      </c>
      <c r="G3" s="1" t="s">
        <v>123</v>
      </c>
      <c r="H3" s="1" t="s">
        <v>23</v>
      </c>
      <c r="I3" s="1" t="str">
        <f t="shared" si="0"/>
        <v>Low</v>
      </c>
      <c r="J3" s="1" t="s">
        <v>49</v>
      </c>
      <c r="K3" s="1" t="s">
        <v>122</v>
      </c>
    </row>
    <row r="4" spans="1:11" ht="15.75" x14ac:dyDescent="0.25">
      <c r="A4" s="1">
        <v>3</v>
      </c>
      <c r="B4" s="1">
        <v>0</v>
      </c>
      <c r="C4" s="1">
        <v>8</v>
      </c>
      <c r="D4" s="1" t="s">
        <v>11</v>
      </c>
      <c r="E4" s="1" t="s">
        <v>104</v>
      </c>
      <c r="F4" s="1" t="s">
        <v>103</v>
      </c>
      <c r="G4" s="1" t="s">
        <v>120</v>
      </c>
      <c r="H4" s="1" t="s">
        <v>23</v>
      </c>
      <c r="I4" s="1" t="str">
        <f t="shared" si="0"/>
        <v>Low</v>
      </c>
      <c r="J4" s="1" t="s">
        <v>49</v>
      </c>
      <c r="K4" s="1" t="s">
        <v>121</v>
      </c>
    </row>
    <row r="5" spans="1:11" ht="15.75" x14ac:dyDescent="0.25">
      <c r="A5" s="1">
        <v>3</v>
      </c>
      <c r="B5" s="1">
        <v>0</v>
      </c>
      <c r="C5" s="1">
        <v>8</v>
      </c>
      <c r="D5" s="1" t="s">
        <v>9</v>
      </c>
      <c r="E5" s="1" t="s">
        <v>104</v>
      </c>
      <c r="F5" s="1" t="s">
        <v>103</v>
      </c>
      <c r="G5" s="1" t="s">
        <v>120</v>
      </c>
      <c r="H5" s="1" t="s">
        <v>23</v>
      </c>
      <c r="I5" s="1" t="str">
        <f t="shared" si="0"/>
        <v>Medium</v>
      </c>
      <c r="J5" s="1" t="s">
        <v>34</v>
      </c>
      <c r="K5" s="1" t="s">
        <v>119</v>
      </c>
    </row>
    <row r="6" spans="1:11" ht="15.75" x14ac:dyDescent="0.25">
      <c r="A6" s="1">
        <v>3</v>
      </c>
      <c r="B6" s="1">
        <v>0</v>
      </c>
      <c r="C6" s="1">
        <v>8</v>
      </c>
      <c r="D6" s="1" t="s">
        <v>11</v>
      </c>
      <c r="E6" s="1" t="s">
        <v>104</v>
      </c>
      <c r="F6" s="1" t="s">
        <v>103</v>
      </c>
      <c r="G6" s="1" t="s">
        <v>116</v>
      </c>
      <c r="H6" s="1" t="s">
        <v>96</v>
      </c>
      <c r="I6" s="1" t="str">
        <f t="shared" si="0"/>
        <v>Low</v>
      </c>
      <c r="J6" s="1" t="s">
        <v>49</v>
      </c>
      <c r="K6" s="1" t="s">
        <v>118</v>
      </c>
    </row>
    <row r="7" spans="1:11" ht="15.75" x14ac:dyDescent="0.25">
      <c r="A7" s="1">
        <v>3</v>
      </c>
      <c r="B7" s="1">
        <v>0</v>
      </c>
      <c r="C7" s="1">
        <v>8</v>
      </c>
      <c r="D7" s="1" t="s">
        <v>9</v>
      </c>
      <c r="E7" s="1" t="s">
        <v>104</v>
      </c>
      <c r="F7" s="1" t="s">
        <v>103</v>
      </c>
      <c r="G7" s="1" t="s">
        <v>116</v>
      </c>
      <c r="H7" s="1" t="s">
        <v>96</v>
      </c>
      <c r="I7" s="1" t="str">
        <f t="shared" si="0"/>
        <v>Medium</v>
      </c>
      <c r="J7" s="1" t="s">
        <v>1</v>
      </c>
      <c r="K7" s="1" t="s">
        <v>117</v>
      </c>
    </row>
    <row r="8" spans="1:11" ht="15.75" x14ac:dyDescent="0.25">
      <c r="A8" s="1">
        <v>3</v>
      </c>
      <c r="B8" s="1">
        <v>0</v>
      </c>
      <c r="C8" s="1">
        <v>8</v>
      </c>
      <c r="D8" s="1" t="s">
        <v>7</v>
      </c>
      <c r="E8" s="1" t="s">
        <v>104</v>
      </c>
      <c r="F8" s="1" t="s">
        <v>103</v>
      </c>
      <c r="G8" s="1" t="s">
        <v>116</v>
      </c>
      <c r="H8" s="1" t="s">
        <v>99</v>
      </c>
      <c r="I8" s="1" t="str">
        <f t="shared" si="0"/>
        <v>Medium</v>
      </c>
      <c r="J8" s="1" t="s">
        <v>34</v>
      </c>
      <c r="K8" s="1" t="s">
        <v>115</v>
      </c>
    </row>
    <row r="9" spans="1:11" ht="15.75" x14ac:dyDescent="0.25">
      <c r="A9" s="1">
        <v>3</v>
      </c>
      <c r="B9" s="1">
        <v>0</v>
      </c>
      <c r="C9" s="1">
        <v>8</v>
      </c>
      <c r="D9" s="1" t="s">
        <v>11</v>
      </c>
      <c r="E9" s="1" t="s">
        <v>104</v>
      </c>
      <c r="F9" s="1" t="s">
        <v>103</v>
      </c>
      <c r="G9" s="1" t="s">
        <v>112</v>
      </c>
      <c r="H9" s="1" t="s">
        <v>23</v>
      </c>
      <c r="I9" s="1" t="str">
        <f t="shared" si="0"/>
        <v>Low</v>
      </c>
      <c r="J9" s="1" t="s">
        <v>49</v>
      </c>
      <c r="K9" s="1" t="s">
        <v>114</v>
      </c>
    </row>
    <row r="10" spans="1:11" ht="15.75" x14ac:dyDescent="0.25">
      <c r="A10" s="1">
        <v>3</v>
      </c>
      <c r="B10" s="1">
        <v>0</v>
      </c>
      <c r="C10" s="1">
        <v>8</v>
      </c>
      <c r="D10" s="1" t="s">
        <v>9</v>
      </c>
      <c r="E10" s="1" t="s">
        <v>104</v>
      </c>
      <c r="F10" s="1" t="s">
        <v>103</v>
      </c>
      <c r="G10" s="1" t="s">
        <v>112</v>
      </c>
      <c r="H10" s="1" t="s">
        <v>3</v>
      </c>
      <c r="I10" s="1" t="str">
        <f t="shared" si="0"/>
        <v>Low</v>
      </c>
      <c r="J10" s="1" t="s">
        <v>49</v>
      </c>
      <c r="K10" s="1" t="s">
        <v>113</v>
      </c>
    </row>
    <row r="11" spans="1:11" ht="15.75" x14ac:dyDescent="0.25">
      <c r="A11" s="1">
        <v>3</v>
      </c>
      <c r="B11" s="1">
        <v>0</v>
      </c>
      <c r="C11" s="1">
        <v>8</v>
      </c>
      <c r="D11" s="1" t="s">
        <v>7</v>
      </c>
      <c r="E11" s="1" t="s">
        <v>104</v>
      </c>
      <c r="F11" s="1" t="s">
        <v>103</v>
      </c>
      <c r="G11" s="1" t="s">
        <v>112</v>
      </c>
      <c r="H11" s="1" t="s">
        <v>111</v>
      </c>
      <c r="I11" s="1" t="str">
        <f t="shared" si="0"/>
        <v>Medium</v>
      </c>
      <c r="J11" s="1" t="s">
        <v>34</v>
      </c>
      <c r="K11" s="1" t="s">
        <v>110</v>
      </c>
    </row>
    <row r="12" spans="1:11" ht="15.75" x14ac:dyDescent="0.25">
      <c r="A12" s="1">
        <v>3</v>
      </c>
      <c r="B12" s="1">
        <v>0</v>
      </c>
      <c r="C12" s="1">
        <v>8</v>
      </c>
      <c r="D12" s="1" t="s">
        <v>11</v>
      </c>
      <c r="E12" s="1" t="s">
        <v>104</v>
      </c>
      <c r="F12" s="1" t="s">
        <v>103</v>
      </c>
      <c r="G12" s="1" t="s">
        <v>108</v>
      </c>
      <c r="H12" s="1" t="s">
        <v>43</v>
      </c>
      <c r="I12" s="1" t="str">
        <f t="shared" si="0"/>
        <v>Low</v>
      </c>
      <c r="J12" s="1" t="s">
        <v>49</v>
      </c>
      <c r="K12" s="1" t="s">
        <v>109</v>
      </c>
    </row>
    <row r="13" spans="1:11" ht="15.75" x14ac:dyDescent="0.25">
      <c r="A13" s="1">
        <v>3</v>
      </c>
      <c r="B13" s="1">
        <v>0</v>
      </c>
      <c r="C13" s="1">
        <v>8</v>
      </c>
      <c r="D13" s="1" t="s">
        <v>9</v>
      </c>
      <c r="E13" s="1" t="s">
        <v>104</v>
      </c>
      <c r="F13" s="1" t="s">
        <v>103</v>
      </c>
      <c r="G13" s="1" t="s">
        <v>108</v>
      </c>
      <c r="H13" s="1" t="s">
        <v>96</v>
      </c>
      <c r="I13" s="1" t="str">
        <f t="shared" si="0"/>
        <v>High</v>
      </c>
      <c r="J13" s="1" t="s">
        <v>71</v>
      </c>
      <c r="K13" s="1" t="s">
        <v>107</v>
      </c>
    </row>
    <row r="14" spans="1:11" ht="15.75" x14ac:dyDescent="0.25">
      <c r="A14" s="1">
        <v>3</v>
      </c>
      <c r="B14" s="1">
        <v>0</v>
      </c>
      <c r="C14" s="1">
        <v>8</v>
      </c>
      <c r="D14" s="1" t="s">
        <v>11</v>
      </c>
      <c r="E14" s="1" t="s">
        <v>104</v>
      </c>
      <c r="F14" s="1" t="s">
        <v>103</v>
      </c>
      <c r="G14" s="1" t="s">
        <v>102</v>
      </c>
      <c r="H14" s="1" t="s">
        <v>3</v>
      </c>
      <c r="I14" s="1" t="str">
        <f t="shared" si="0"/>
        <v>Medium</v>
      </c>
      <c r="J14" s="1" t="s">
        <v>1</v>
      </c>
      <c r="K14" s="1" t="s">
        <v>106</v>
      </c>
    </row>
    <row r="15" spans="1:11" ht="15.75" x14ac:dyDescent="0.25">
      <c r="A15" s="1">
        <v>3</v>
      </c>
      <c r="B15" s="1">
        <v>0</v>
      </c>
      <c r="C15" s="1">
        <v>8</v>
      </c>
      <c r="D15" s="1" t="s">
        <v>9</v>
      </c>
      <c r="E15" s="1" t="s">
        <v>104</v>
      </c>
      <c r="F15" s="1" t="s">
        <v>103</v>
      </c>
      <c r="G15" s="1" t="s">
        <v>102</v>
      </c>
      <c r="H15" s="1" t="s">
        <v>3</v>
      </c>
      <c r="I15" s="1" t="str">
        <f t="shared" si="0"/>
        <v>Medium</v>
      </c>
      <c r="J15" s="1" t="s">
        <v>1</v>
      </c>
      <c r="K15" s="1" t="s">
        <v>105</v>
      </c>
    </row>
    <row r="16" spans="1:11" ht="15.75" x14ac:dyDescent="0.25">
      <c r="A16" s="1">
        <v>3</v>
      </c>
      <c r="B16" s="1">
        <v>0</v>
      </c>
      <c r="C16" s="1">
        <v>8</v>
      </c>
      <c r="D16" s="1" t="s">
        <v>7</v>
      </c>
      <c r="E16" s="1" t="s">
        <v>104</v>
      </c>
      <c r="F16" s="1" t="s">
        <v>103</v>
      </c>
      <c r="G16" s="1" t="s">
        <v>102</v>
      </c>
      <c r="H16" s="1" t="s">
        <v>14</v>
      </c>
      <c r="I16" s="1" t="str">
        <f t="shared" si="0"/>
        <v>Medium</v>
      </c>
      <c r="J16" s="1" t="s">
        <v>1</v>
      </c>
      <c r="K16" s="1" t="s">
        <v>101</v>
      </c>
    </row>
    <row r="17" spans="1:11" ht="15.75" x14ac:dyDescent="0.25">
      <c r="A17" s="3">
        <v>0</v>
      </c>
      <c r="B17" s="3">
        <v>4</v>
      </c>
      <c r="C17" s="1">
        <v>8</v>
      </c>
      <c r="D17" s="1" t="s">
        <v>9</v>
      </c>
      <c r="E17" s="1" t="s">
        <v>104</v>
      </c>
      <c r="F17" s="1" t="s">
        <v>103</v>
      </c>
      <c r="G17" s="1" t="s">
        <v>187</v>
      </c>
      <c r="H17" s="1" t="s">
        <v>3</v>
      </c>
      <c r="I17" s="1" t="str">
        <f t="shared" si="0"/>
        <v>Low</v>
      </c>
      <c r="J17" s="1" t="s">
        <v>188</v>
      </c>
      <c r="K17" s="1" t="s">
        <v>189</v>
      </c>
    </row>
    <row r="18" spans="1:11" ht="15.75" x14ac:dyDescent="0.25">
      <c r="A18" s="3">
        <v>0</v>
      </c>
      <c r="B18" s="3">
        <v>4</v>
      </c>
      <c r="C18" s="1">
        <v>8</v>
      </c>
      <c r="D18" s="1" t="s">
        <v>7</v>
      </c>
      <c r="E18" s="1" t="s">
        <v>104</v>
      </c>
      <c r="F18" s="1" t="s">
        <v>103</v>
      </c>
      <c r="G18" s="1" t="s">
        <v>187</v>
      </c>
      <c r="H18" s="1" t="s">
        <v>111</v>
      </c>
      <c r="I18" s="1" t="str">
        <f t="shared" si="0"/>
        <v>Low</v>
      </c>
      <c r="J18" s="1" t="s">
        <v>190</v>
      </c>
      <c r="K18" s="1" t="s">
        <v>191</v>
      </c>
    </row>
    <row r="19" spans="1:11" ht="15.75" x14ac:dyDescent="0.25">
      <c r="A19" s="3">
        <v>0</v>
      </c>
      <c r="B19" s="3">
        <v>4</v>
      </c>
      <c r="C19" s="1">
        <v>8</v>
      </c>
      <c r="D19" s="1" t="s">
        <v>16</v>
      </c>
      <c r="E19" s="1" t="s">
        <v>104</v>
      </c>
      <c r="F19" s="1" t="s">
        <v>103</v>
      </c>
      <c r="G19" s="1" t="s">
        <v>187</v>
      </c>
      <c r="H19" s="1" t="s">
        <v>14</v>
      </c>
      <c r="I19" s="1" t="str">
        <f t="shared" si="0"/>
        <v>Medium</v>
      </c>
      <c r="J19" s="1" t="s">
        <v>13</v>
      </c>
      <c r="K19" s="1" t="s">
        <v>192</v>
      </c>
    </row>
    <row r="20" spans="1:11" ht="15.75" x14ac:dyDescent="0.25">
      <c r="A20" s="3">
        <v>0</v>
      </c>
      <c r="B20" s="3">
        <v>4</v>
      </c>
      <c r="C20" s="1">
        <v>8</v>
      </c>
      <c r="D20" s="1" t="s">
        <v>41</v>
      </c>
      <c r="E20" s="1" t="s">
        <v>104</v>
      </c>
      <c r="F20" s="1" t="s">
        <v>103</v>
      </c>
      <c r="G20" s="1" t="s">
        <v>187</v>
      </c>
      <c r="H20" s="1" t="s">
        <v>141</v>
      </c>
      <c r="I20" s="1" t="str">
        <f t="shared" si="0"/>
        <v>Medium</v>
      </c>
      <c r="J20" s="1" t="s">
        <v>32</v>
      </c>
      <c r="K20" s="1" t="s">
        <v>193</v>
      </c>
    </row>
    <row r="21" spans="1:11" ht="15.75" x14ac:dyDescent="0.25">
      <c r="A21" s="3">
        <v>0</v>
      </c>
      <c r="B21" s="3">
        <v>4</v>
      </c>
      <c r="C21" s="1">
        <v>8</v>
      </c>
      <c r="D21" s="1" t="s">
        <v>194</v>
      </c>
      <c r="E21" s="1" t="s">
        <v>104</v>
      </c>
      <c r="F21" s="1" t="s">
        <v>103</v>
      </c>
      <c r="G21" s="1" t="s">
        <v>187</v>
      </c>
      <c r="H21" s="1" t="s">
        <v>19</v>
      </c>
      <c r="I21" s="1" t="str">
        <f t="shared" si="0"/>
        <v>High</v>
      </c>
      <c r="J21" s="1" t="s">
        <v>177</v>
      </c>
      <c r="K21" s="1" t="s">
        <v>195</v>
      </c>
    </row>
    <row r="22" spans="1:11" ht="15.75" x14ac:dyDescent="0.25">
      <c r="A22" s="3">
        <v>0</v>
      </c>
      <c r="B22" s="3">
        <v>4</v>
      </c>
      <c r="C22" s="1">
        <v>8</v>
      </c>
      <c r="D22" s="1" t="s">
        <v>196</v>
      </c>
      <c r="E22" s="1" t="s">
        <v>104</v>
      </c>
      <c r="F22" s="1" t="s">
        <v>103</v>
      </c>
      <c r="G22" s="1" t="s">
        <v>187</v>
      </c>
      <c r="H22" s="1" t="s">
        <v>89</v>
      </c>
      <c r="I22" s="1" t="str">
        <f t="shared" si="0"/>
        <v>High</v>
      </c>
      <c r="J22" s="1" t="s">
        <v>197</v>
      </c>
      <c r="K22" s="1" t="s">
        <v>198</v>
      </c>
    </row>
    <row r="23" spans="1:11" ht="15.75" x14ac:dyDescent="0.25">
      <c r="A23" s="3">
        <v>0</v>
      </c>
      <c r="B23" s="3">
        <v>4</v>
      </c>
      <c r="C23" s="1">
        <v>8</v>
      </c>
      <c r="D23" s="1" t="s">
        <v>199</v>
      </c>
      <c r="E23" s="1" t="s">
        <v>104</v>
      </c>
      <c r="F23" s="1" t="s">
        <v>103</v>
      </c>
      <c r="G23" s="1" t="s">
        <v>187</v>
      </c>
      <c r="H23" s="1" t="s">
        <v>99</v>
      </c>
      <c r="I23" s="1" t="s">
        <v>57</v>
      </c>
      <c r="J23" s="1" t="s">
        <v>200</v>
      </c>
      <c r="K23" s="1" t="s">
        <v>201</v>
      </c>
    </row>
    <row r="24" spans="1:11" ht="15.75" x14ac:dyDescent="0.25">
      <c r="A24" s="3">
        <v>0</v>
      </c>
      <c r="B24" s="3">
        <v>4</v>
      </c>
      <c r="C24" s="1">
        <v>8</v>
      </c>
      <c r="D24" s="1" t="s">
        <v>202</v>
      </c>
      <c r="E24" s="1" t="s">
        <v>104</v>
      </c>
      <c r="F24" s="1" t="s">
        <v>103</v>
      </c>
      <c r="G24" s="1" t="s">
        <v>187</v>
      </c>
      <c r="H24" s="1" t="s">
        <v>96</v>
      </c>
      <c r="I24" s="1" t="s">
        <v>57</v>
      </c>
      <c r="J24" s="1" t="s">
        <v>200</v>
      </c>
      <c r="K24" s="1" t="s">
        <v>203</v>
      </c>
    </row>
    <row r="25" spans="1:11" ht="15.75" x14ac:dyDescent="0.25">
      <c r="A25" s="3">
        <v>3</v>
      </c>
      <c r="B25" s="3">
        <v>0</v>
      </c>
      <c r="C25" s="1">
        <v>7</v>
      </c>
      <c r="D25" s="1" t="s">
        <v>11</v>
      </c>
      <c r="E25" s="1" t="s">
        <v>104</v>
      </c>
      <c r="F25" s="1" t="s">
        <v>103</v>
      </c>
      <c r="G25" s="1" t="s">
        <v>204</v>
      </c>
      <c r="H25" s="1" t="s">
        <v>111</v>
      </c>
      <c r="I25" s="1" t="str">
        <f t="shared" ref="I25:I88" si="1">IF(OR(RIGHT(J25,1)="1",RIGHT(J25,1)="2"),"Low",
IF(OR(RIGHT(J25,1)="3",RIGHT(J25,1)="4"),"Medium",
IF(OR(RIGHT(J25,1)="5",RIGHT(J25,1)="6"),"High","")))</f>
        <v>High</v>
      </c>
      <c r="J25" s="1" t="s">
        <v>56</v>
      </c>
      <c r="K25" s="1" t="s">
        <v>205</v>
      </c>
    </row>
    <row r="26" spans="1:11" ht="15.75" x14ac:dyDescent="0.25">
      <c r="A26" s="3">
        <v>3</v>
      </c>
      <c r="B26" s="3">
        <v>0</v>
      </c>
      <c r="C26" s="1">
        <v>7</v>
      </c>
      <c r="D26" s="1" t="s">
        <v>9</v>
      </c>
      <c r="E26" s="1" t="s">
        <v>104</v>
      </c>
      <c r="F26" s="1" t="s">
        <v>103</v>
      </c>
      <c r="G26" s="1" t="s">
        <v>204</v>
      </c>
      <c r="H26" s="1" t="s">
        <v>14</v>
      </c>
      <c r="I26" s="1" t="str">
        <f t="shared" si="1"/>
        <v>High</v>
      </c>
      <c r="J26" s="1" t="s">
        <v>71</v>
      </c>
      <c r="K26" s="1" t="s">
        <v>206</v>
      </c>
    </row>
    <row r="27" spans="1:11" ht="15.75" x14ac:dyDescent="0.25">
      <c r="A27" s="3">
        <v>3</v>
      </c>
      <c r="B27" s="3">
        <v>0</v>
      </c>
      <c r="C27" s="1">
        <v>7</v>
      </c>
      <c r="D27" s="1" t="s">
        <v>7</v>
      </c>
      <c r="E27" s="1" t="s">
        <v>104</v>
      </c>
      <c r="F27" s="1" t="s">
        <v>103</v>
      </c>
      <c r="G27" s="1" t="s">
        <v>204</v>
      </c>
      <c r="H27" s="1" t="s">
        <v>14</v>
      </c>
      <c r="I27" s="1" t="str">
        <f t="shared" si="1"/>
        <v>High</v>
      </c>
      <c r="J27" s="1" t="s">
        <v>71</v>
      </c>
      <c r="K27" s="1" t="s">
        <v>207</v>
      </c>
    </row>
    <row r="28" spans="1:11" ht="15.75" x14ac:dyDescent="0.25">
      <c r="A28" s="3">
        <v>0</v>
      </c>
      <c r="B28" s="3">
        <v>1</v>
      </c>
      <c r="C28" s="1">
        <v>7</v>
      </c>
      <c r="D28" s="1" t="s">
        <v>11</v>
      </c>
      <c r="E28" s="1" t="s">
        <v>104</v>
      </c>
      <c r="F28" s="1" t="s">
        <v>103</v>
      </c>
      <c r="G28" s="1" t="s">
        <v>208</v>
      </c>
      <c r="H28" s="1" t="s">
        <v>43</v>
      </c>
      <c r="I28" s="1" t="str">
        <f t="shared" si="1"/>
        <v>Medium</v>
      </c>
      <c r="J28" s="1" t="s">
        <v>1</v>
      </c>
      <c r="K28" s="1" t="s">
        <v>209</v>
      </c>
    </row>
    <row r="29" spans="1:11" ht="15.75" x14ac:dyDescent="0.25">
      <c r="A29" s="3">
        <v>0</v>
      </c>
      <c r="B29" s="3">
        <v>1</v>
      </c>
      <c r="C29" s="1">
        <v>7</v>
      </c>
      <c r="D29" s="1" t="s">
        <v>9</v>
      </c>
      <c r="E29" s="1" t="s">
        <v>104</v>
      </c>
      <c r="F29" s="1" t="s">
        <v>103</v>
      </c>
      <c r="G29" s="1" t="s">
        <v>208</v>
      </c>
      <c r="H29" s="1" t="s">
        <v>19</v>
      </c>
      <c r="I29" s="1" t="str">
        <f t="shared" si="1"/>
        <v>Medium</v>
      </c>
      <c r="J29" s="1" t="s">
        <v>1</v>
      </c>
      <c r="K29" s="1" t="s">
        <v>210</v>
      </c>
    </row>
    <row r="30" spans="1:11" ht="15.75" x14ac:dyDescent="0.25">
      <c r="A30" s="3">
        <v>3</v>
      </c>
      <c r="B30" s="3">
        <v>1</v>
      </c>
      <c r="C30" s="1">
        <v>7</v>
      </c>
      <c r="D30" s="1" t="s">
        <v>11</v>
      </c>
      <c r="E30" s="1" t="s">
        <v>104</v>
      </c>
      <c r="F30" s="1" t="s">
        <v>103</v>
      </c>
      <c r="G30" s="1" t="s">
        <v>211</v>
      </c>
      <c r="H30" s="1" t="s">
        <v>23</v>
      </c>
      <c r="I30" s="1" t="str">
        <f t="shared" si="1"/>
        <v>Low</v>
      </c>
      <c r="J30" s="1" t="s">
        <v>49</v>
      </c>
      <c r="K30" s="1" t="s">
        <v>212</v>
      </c>
    </row>
    <row r="31" spans="1:11" ht="15.75" x14ac:dyDescent="0.25">
      <c r="A31" s="3">
        <v>3</v>
      </c>
      <c r="B31" s="3">
        <v>1</v>
      </c>
      <c r="C31" s="1">
        <v>7</v>
      </c>
      <c r="D31" s="1" t="s">
        <v>9</v>
      </c>
      <c r="E31" s="1" t="s">
        <v>104</v>
      </c>
      <c r="F31" s="1" t="s">
        <v>103</v>
      </c>
      <c r="G31" s="1" t="s">
        <v>211</v>
      </c>
      <c r="H31" s="1" t="s">
        <v>35</v>
      </c>
      <c r="I31" s="1" t="str">
        <f t="shared" si="1"/>
        <v>Medium</v>
      </c>
      <c r="J31" s="1" t="s">
        <v>1</v>
      </c>
      <c r="K31" s="1" t="s">
        <v>213</v>
      </c>
    </row>
    <row r="32" spans="1:11" ht="15.75" x14ac:dyDescent="0.25">
      <c r="A32" s="3">
        <v>3</v>
      </c>
      <c r="B32" s="3">
        <v>1</v>
      </c>
      <c r="C32" s="1">
        <v>7</v>
      </c>
      <c r="D32" s="1" t="s">
        <v>7</v>
      </c>
      <c r="E32" s="1" t="s">
        <v>104</v>
      </c>
      <c r="F32" s="1" t="s">
        <v>103</v>
      </c>
      <c r="G32" s="1" t="s">
        <v>211</v>
      </c>
      <c r="H32" s="1" t="s">
        <v>14</v>
      </c>
      <c r="I32" s="1" t="str">
        <f t="shared" si="1"/>
        <v>Medium</v>
      </c>
      <c r="J32" s="1" t="s">
        <v>32</v>
      </c>
      <c r="K32" s="1" t="s">
        <v>214</v>
      </c>
    </row>
    <row r="33" spans="1:11" ht="15.75" x14ac:dyDescent="0.25">
      <c r="A33" s="3">
        <v>3</v>
      </c>
      <c r="B33" s="3">
        <v>1</v>
      </c>
      <c r="C33" s="1">
        <v>7</v>
      </c>
      <c r="D33" s="1" t="s">
        <v>20</v>
      </c>
      <c r="E33" s="1" t="s">
        <v>104</v>
      </c>
      <c r="F33" s="1" t="s">
        <v>103</v>
      </c>
      <c r="G33" s="1" t="s">
        <v>211</v>
      </c>
      <c r="H33" s="1" t="s">
        <v>89</v>
      </c>
      <c r="I33" s="1" t="str">
        <f t="shared" si="1"/>
        <v>Medium</v>
      </c>
      <c r="J33" s="1" t="s">
        <v>18</v>
      </c>
      <c r="K33" s="1" t="s">
        <v>215</v>
      </c>
    </row>
    <row r="34" spans="1:11" ht="15.75" x14ac:dyDescent="0.25">
      <c r="A34" s="3">
        <v>3</v>
      </c>
      <c r="B34" s="3">
        <v>1</v>
      </c>
      <c r="C34" s="1">
        <v>7</v>
      </c>
      <c r="D34" s="1" t="s">
        <v>16</v>
      </c>
      <c r="E34" s="1" t="s">
        <v>104</v>
      </c>
      <c r="F34" s="1" t="s">
        <v>103</v>
      </c>
      <c r="G34" s="1" t="s">
        <v>211</v>
      </c>
      <c r="H34" s="1" t="s">
        <v>43</v>
      </c>
      <c r="I34" s="1" t="str">
        <f t="shared" si="1"/>
        <v>Medium</v>
      </c>
      <c r="J34" s="1" t="s">
        <v>18</v>
      </c>
      <c r="K34" s="1" t="s">
        <v>216</v>
      </c>
    </row>
    <row r="35" spans="1:11" ht="15.75" x14ac:dyDescent="0.25">
      <c r="A35" s="3">
        <v>3</v>
      </c>
      <c r="B35" s="3">
        <v>1</v>
      </c>
      <c r="C35" s="1">
        <v>7</v>
      </c>
      <c r="D35" s="1" t="s">
        <v>30</v>
      </c>
      <c r="E35" s="1" t="s">
        <v>104</v>
      </c>
      <c r="F35" s="1" t="s">
        <v>103</v>
      </c>
      <c r="G35" s="1" t="s">
        <v>211</v>
      </c>
      <c r="H35" s="1" t="s">
        <v>35</v>
      </c>
      <c r="I35" s="1" t="str">
        <f t="shared" si="1"/>
        <v>Medium</v>
      </c>
      <c r="J35" s="1" t="s">
        <v>34</v>
      </c>
      <c r="K35" s="1" t="s">
        <v>217</v>
      </c>
    </row>
    <row r="36" spans="1:11" ht="15.75" x14ac:dyDescent="0.25">
      <c r="A36" s="3">
        <v>3</v>
      </c>
      <c r="B36" s="3">
        <v>0</v>
      </c>
      <c r="C36" s="1">
        <v>7</v>
      </c>
      <c r="D36" s="1" t="s">
        <v>11</v>
      </c>
      <c r="E36" s="1" t="s">
        <v>104</v>
      </c>
      <c r="F36" s="1" t="s">
        <v>103</v>
      </c>
      <c r="G36" s="1" t="s">
        <v>218</v>
      </c>
      <c r="H36" s="1" t="s">
        <v>23</v>
      </c>
      <c r="I36" s="1" t="str">
        <f t="shared" si="1"/>
        <v>Low</v>
      </c>
      <c r="J36" s="1" t="s">
        <v>49</v>
      </c>
      <c r="K36" s="1" t="s">
        <v>219</v>
      </c>
    </row>
    <row r="37" spans="1:11" ht="15.75" x14ac:dyDescent="0.25">
      <c r="A37" s="3">
        <v>3</v>
      </c>
      <c r="B37" s="3">
        <v>0</v>
      </c>
      <c r="C37" s="1">
        <v>7</v>
      </c>
      <c r="D37" s="1" t="s">
        <v>9</v>
      </c>
      <c r="E37" s="1" t="s">
        <v>104</v>
      </c>
      <c r="F37" s="1" t="s">
        <v>103</v>
      </c>
      <c r="G37" s="1" t="s">
        <v>218</v>
      </c>
      <c r="H37" s="1" t="s">
        <v>3</v>
      </c>
      <c r="I37" s="1" t="str">
        <f t="shared" si="1"/>
        <v>High</v>
      </c>
      <c r="J37" s="1" t="s">
        <v>71</v>
      </c>
      <c r="K37" s="1" t="s">
        <v>220</v>
      </c>
    </row>
    <row r="38" spans="1:11" ht="15.75" x14ac:dyDescent="0.25">
      <c r="A38" s="3">
        <v>3</v>
      </c>
      <c r="B38" s="3">
        <v>0</v>
      </c>
      <c r="C38" s="1">
        <v>7</v>
      </c>
      <c r="D38" s="1" t="s">
        <v>7</v>
      </c>
      <c r="E38" s="1" t="s">
        <v>104</v>
      </c>
      <c r="F38" s="1" t="s">
        <v>103</v>
      </c>
      <c r="G38" s="1" t="s">
        <v>218</v>
      </c>
      <c r="H38" s="1" t="s">
        <v>35</v>
      </c>
      <c r="I38" s="1" t="str">
        <f t="shared" si="1"/>
        <v>Medium</v>
      </c>
      <c r="J38" s="1" t="s">
        <v>34</v>
      </c>
      <c r="K38" s="1" t="s">
        <v>221</v>
      </c>
    </row>
    <row r="39" spans="1:11" ht="15.75" x14ac:dyDescent="0.25">
      <c r="A39" s="3">
        <v>3</v>
      </c>
      <c r="B39" s="3">
        <v>0</v>
      </c>
      <c r="C39" s="1">
        <v>7</v>
      </c>
      <c r="D39" s="1" t="s">
        <v>11</v>
      </c>
      <c r="E39" s="1" t="s">
        <v>104</v>
      </c>
      <c r="F39" s="1" t="s">
        <v>103</v>
      </c>
      <c r="G39" s="1" t="s">
        <v>222</v>
      </c>
      <c r="H39" s="1" t="s">
        <v>23</v>
      </c>
      <c r="I39" s="1" t="str">
        <f t="shared" si="1"/>
        <v>Low</v>
      </c>
      <c r="J39" s="1" t="s">
        <v>49</v>
      </c>
      <c r="K39" s="1" t="s">
        <v>223</v>
      </c>
    </row>
    <row r="40" spans="1:11" ht="15.75" x14ac:dyDescent="0.25">
      <c r="A40" s="3">
        <v>3</v>
      </c>
      <c r="B40" s="3">
        <v>0</v>
      </c>
      <c r="C40" s="1">
        <v>7</v>
      </c>
      <c r="D40" s="1" t="s">
        <v>9</v>
      </c>
      <c r="E40" s="1" t="s">
        <v>104</v>
      </c>
      <c r="F40" s="1" t="s">
        <v>103</v>
      </c>
      <c r="G40" s="1" t="s">
        <v>222</v>
      </c>
      <c r="H40" s="1" t="s">
        <v>23</v>
      </c>
      <c r="I40" s="1" t="str">
        <f t="shared" si="1"/>
        <v>Low</v>
      </c>
      <c r="J40" s="1" t="s">
        <v>49</v>
      </c>
      <c r="K40" s="1" t="s">
        <v>224</v>
      </c>
    </row>
    <row r="41" spans="1:11" ht="15.75" x14ac:dyDescent="0.25">
      <c r="A41" s="3">
        <v>3</v>
      </c>
      <c r="B41" s="3">
        <v>0</v>
      </c>
      <c r="C41" s="1">
        <v>7</v>
      </c>
      <c r="D41" s="1" t="s">
        <v>7</v>
      </c>
      <c r="E41" s="1" t="s">
        <v>104</v>
      </c>
      <c r="F41" s="1" t="s">
        <v>103</v>
      </c>
      <c r="G41" s="1" t="s">
        <v>222</v>
      </c>
      <c r="H41" s="1" t="s">
        <v>23</v>
      </c>
      <c r="I41" s="1" t="str">
        <f t="shared" si="1"/>
        <v>Medium</v>
      </c>
      <c r="J41" s="1" t="s">
        <v>34</v>
      </c>
      <c r="K41" s="1" t="s">
        <v>225</v>
      </c>
    </row>
    <row r="42" spans="1:11" ht="15.75" x14ac:dyDescent="0.25">
      <c r="A42" s="3">
        <v>3</v>
      </c>
      <c r="B42" s="3">
        <v>0</v>
      </c>
      <c r="C42" s="1">
        <v>7</v>
      </c>
      <c r="D42" s="1" t="s">
        <v>11</v>
      </c>
      <c r="E42" s="1" t="s">
        <v>104</v>
      </c>
      <c r="F42" s="1" t="s">
        <v>103</v>
      </c>
      <c r="G42" s="1" t="s">
        <v>226</v>
      </c>
      <c r="H42" s="1" t="s">
        <v>23</v>
      </c>
      <c r="I42" s="1" t="str">
        <f t="shared" si="1"/>
        <v>Low</v>
      </c>
      <c r="J42" s="1" t="s">
        <v>49</v>
      </c>
      <c r="K42" s="1" t="s">
        <v>227</v>
      </c>
    </row>
    <row r="43" spans="1:11" ht="15.75" x14ac:dyDescent="0.25">
      <c r="A43" s="3">
        <v>3</v>
      </c>
      <c r="B43" s="3">
        <v>0</v>
      </c>
      <c r="C43" s="1">
        <v>7</v>
      </c>
      <c r="D43" s="1" t="s">
        <v>9</v>
      </c>
      <c r="E43" s="1" t="s">
        <v>104</v>
      </c>
      <c r="F43" s="1" t="s">
        <v>103</v>
      </c>
      <c r="G43" s="1" t="s">
        <v>226</v>
      </c>
      <c r="H43" s="1" t="s">
        <v>111</v>
      </c>
      <c r="I43" s="1" t="str">
        <f t="shared" si="1"/>
        <v>Medium</v>
      </c>
      <c r="J43" s="1" t="s">
        <v>1</v>
      </c>
      <c r="K43" s="1" t="s">
        <v>228</v>
      </c>
    </row>
    <row r="44" spans="1:11" ht="15.75" x14ac:dyDescent="0.25">
      <c r="A44" s="3">
        <v>2</v>
      </c>
      <c r="B44" s="3">
        <v>1</v>
      </c>
      <c r="C44" s="1">
        <v>7</v>
      </c>
      <c r="D44" s="1" t="s">
        <v>11</v>
      </c>
      <c r="E44" s="1" t="s">
        <v>104</v>
      </c>
      <c r="F44" s="1" t="s">
        <v>103</v>
      </c>
      <c r="G44" s="1" t="s">
        <v>229</v>
      </c>
      <c r="H44" s="1" t="s">
        <v>14</v>
      </c>
      <c r="I44" s="1" t="str">
        <f t="shared" si="1"/>
        <v>Medium</v>
      </c>
      <c r="J44" s="1" t="s">
        <v>1</v>
      </c>
      <c r="K44" s="1" t="s">
        <v>230</v>
      </c>
    </row>
    <row r="45" spans="1:11" ht="15.75" x14ac:dyDescent="0.25">
      <c r="A45" s="3">
        <v>2</v>
      </c>
      <c r="B45" s="3">
        <v>1</v>
      </c>
      <c r="C45" s="1">
        <v>7</v>
      </c>
      <c r="D45" s="1" t="s">
        <v>9</v>
      </c>
      <c r="E45" s="1" t="s">
        <v>104</v>
      </c>
      <c r="F45" s="1" t="s">
        <v>103</v>
      </c>
      <c r="G45" s="1" t="s">
        <v>229</v>
      </c>
      <c r="H45" s="1" t="s">
        <v>14</v>
      </c>
      <c r="I45" s="1" t="str">
        <f t="shared" si="1"/>
        <v>Medium</v>
      </c>
      <c r="J45" s="1" t="s">
        <v>34</v>
      </c>
      <c r="K45" s="1" t="s">
        <v>231</v>
      </c>
    </row>
    <row r="46" spans="1:11" ht="15.75" x14ac:dyDescent="0.25">
      <c r="A46" s="3">
        <v>2</v>
      </c>
      <c r="B46" s="3">
        <v>1</v>
      </c>
      <c r="C46" s="1">
        <v>7</v>
      </c>
      <c r="D46" s="1" t="s">
        <v>7</v>
      </c>
      <c r="E46" s="1" t="s">
        <v>104</v>
      </c>
      <c r="F46" s="1" t="s">
        <v>103</v>
      </c>
      <c r="G46" s="1" t="s">
        <v>229</v>
      </c>
      <c r="H46" s="1" t="s">
        <v>43</v>
      </c>
      <c r="I46" s="1" t="str">
        <f t="shared" si="1"/>
        <v>High</v>
      </c>
      <c r="J46" s="1" t="s">
        <v>71</v>
      </c>
      <c r="K46" s="1" t="s">
        <v>232</v>
      </c>
    </row>
    <row r="47" spans="1:11" ht="15.75" x14ac:dyDescent="0.25">
      <c r="A47" s="1">
        <v>3</v>
      </c>
      <c r="B47" s="1">
        <v>0</v>
      </c>
      <c r="C47" s="1">
        <v>6</v>
      </c>
      <c r="D47" s="1" t="s">
        <v>11</v>
      </c>
      <c r="E47" s="1" t="s">
        <v>60</v>
      </c>
      <c r="F47" s="1" t="s">
        <v>59</v>
      </c>
      <c r="G47" s="1" t="s">
        <v>97</v>
      </c>
      <c r="H47" s="1" t="s">
        <v>3</v>
      </c>
      <c r="I47" s="1" t="str">
        <f t="shared" si="1"/>
        <v>Medium</v>
      </c>
      <c r="J47" s="1" t="s">
        <v>1</v>
      </c>
      <c r="K47" s="1" t="s">
        <v>100</v>
      </c>
    </row>
    <row r="48" spans="1:11" ht="15.75" x14ac:dyDescent="0.25">
      <c r="A48" s="1">
        <v>3</v>
      </c>
      <c r="B48" s="1">
        <v>0</v>
      </c>
      <c r="C48" s="1">
        <v>6</v>
      </c>
      <c r="D48" s="1" t="s">
        <v>9</v>
      </c>
      <c r="E48" s="1" t="s">
        <v>60</v>
      </c>
      <c r="F48" s="1" t="s">
        <v>59</v>
      </c>
      <c r="G48" s="1" t="s">
        <v>97</v>
      </c>
      <c r="H48" s="1" t="s">
        <v>99</v>
      </c>
      <c r="I48" s="1" t="str">
        <f t="shared" si="1"/>
        <v>Medium</v>
      </c>
      <c r="J48" s="1" t="s">
        <v>34</v>
      </c>
      <c r="K48" s="1" t="s">
        <v>98</v>
      </c>
    </row>
    <row r="49" spans="1:11" ht="15.75" x14ac:dyDescent="0.25">
      <c r="A49" s="1">
        <v>3</v>
      </c>
      <c r="B49" s="1">
        <v>0</v>
      </c>
      <c r="C49" s="1">
        <v>6</v>
      </c>
      <c r="D49" s="1" t="s">
        <v>7</v>
      </c>
      <c r="E49" s="1" t="s">
        <v>60</v>
      </c>
      <c r="F49" s="1" t="s">
        <v>59</v>
      </c>
      <c r="G49" s="1" t="s">
        <v>97</v>
      </c>
      <c r="H49" s="1" t="s">
        <v>96</v>
      </c>
      <c r="I49" s="1" t="str">
        <f t="shared" si="1"/>
        <v>Medium</v>
      </c>
      <c r="J49" s="1" t="s">
        <v>1</v>
      </c>
      <c r="K49" s="1" t="s">
        <v>95</v>
      </c>
    </row>
    <row r="50" spans="1:11" ht="15.75" x14ac:dyDescent="0.25">
      <c r="A50" s="1">
        <v>3</v>
      </c>
      <c r="B50" s="1">
        <v>1</v>
      </c>
      <c r="C50" s="1">
        <v>6</v>
      </c>
      <c r="D50" s="1" t="s">
        <v>11</v>
      </c>
      <c r="E50" s="1" t="s">
        <v>60</v>
      </c>
      <c r="F50" s="1" t="s">
        <v>59</v>
      </c>
      <c r="G50" s="1" t="s">
        <v>87</v>
      </c>
      <c r="H50" s="1" t="s">
        <v>23</v>
      </c>
      <c r="I50" s="1" t="str">
        <f t="shared" si="1"/>
        <v>Low</v>
      </c>
      <c r="J50" s="1" t="s">
        <v>49</v>
      </c>
      <c r="K50" s="1" t="s">
        <v>94</v>
      </c>
    </row>
    <row r="51" spans="1:11" ht="15.75" x14ac:dyDescent="0.25">
      <c r="A51" s="1">
        <v>3</v>
      </c>
      <c r="B51" s="1">
        <v>1</v>
      </c>
      <c r="C51" s="1">
        <v>6</v>
      </c>
      <c r="D51" s="1" t="s">
        <v>9</v>
      </c>
      <c r="E51" s="1" t="s">
        <v>60</v>
      </c>
      <c r="F51" s="1" t="s">
        <v>59</v>
      </c>
      <c r="G51" s="1" t="s">
        <v>87</v>
      </c>
      <c r="H51" s="1" t="s">
        <v>3</v>
      </c>
      <c r="I51" s="1" t="str">
        <f t="shared" si="1"/>
        <v>Medium</v>
      </c>
      <c r="J51" s="1" t="s">
        <v>1</v>
      </c>
      <c r="K51" s="1" t="s">
        <v>93</v>
      </c>
    </row>
    <row r="52" spans="1:11" ht="15.75" x14ac:dyDescent="0.25">
      <c r="A52" s="1">
        <v>3</v>
      </c>
      <c r="B52" s="1">
        <v>1</v>
      </c>
      <c r="C52" s="1">
        <v>6</v>
      </c>
      <c r="D52" s="1" t="s">
        <v>7</v>
      </c>
      <c r="E52" s="1" t="s">
        <v>60</v>
      </c>
      <c r="F52" s="1" t="s">
        <v>59</v>
      </c>
      <c r="G52" s="1" t="s">
        <v>87</v>
      </c>
      <c r="H52" s="1" t="s">
        <v>35</v>
      </c>
      <c r="I52" s="1" t="str">
        <f t="shared" si="1"/>
        <v>Medium</v>
      </c>
      <c r="J52" s="1" t="s">
        <v>34</v>
      </c>
      <c r="K52" s="1" t="s">
        <v>92</v>
      </c>
    </row>
    <row r="53" spans="1:11" ht="15.75" x14ac:dyDescent="0.25">
      <c r="A53" s="1">
        <v>3</v>
      </c>
      <c r="B53" s="1">
        <v>1</v>
      </c>
      <c r="C53" s="1">
        <v>6</v>
      </c>
      <c r="D53" s="1" t="s">
        <v>20</v>
      </c>
      <c r="E53" s="1" t="s">
        <v>60</v>
      </c>
      <c r="F53" s="1" t="s">
        <v>59</v>
      </c>
      <c r="G53" s="1" t="s">
        <v>87</v>
      </c>
      <c r="H53" s="1" t="s">
        <v>14</v>
      </c>
      <c r="I53" s="1" t="str">
        <f t="shared" si="1"/>
        <v>Medium</v>
      </c>
      <c r="J53" s="1" t="s">
        <v>32</v>
      </c>
      <c r="K53" s="1" t="s">
        <v>91</v>
      </c>
    </row>
    <row r="54" spans="1:11" ht="15.75" x14ac:dyDescent="0.25">
      <c r="A54" s="1">
        <v>3</v>
      </c>
      <c r="B54" s="1">
        <v>1</v>
      </c>
      <c r="C54" s="1">
        <v>6</v>
      </c>
      <c r="D54" s="1" t="s">
        <v>16</v>
      </c>
      <c r="E54" s="1" t="s">
        <v>60</v>
      </c>
      <c r="F54" s="1" t="s">
        <v>59</v>
      </c>
      <c r="G54" s="1" t="s">
        <v>87</v>
      </c>
      <c r="H54" s="1" t="s">
        <v>3</v>
      </c>
      <c r="I54" s="1" t="str">
        <f t="shared" si="1"/>
        <v>Medium</v>
      </c>
      <c r="J54" s="1" t="s">
        <v>34</v>
      </c>
      <c r="K54" s="1" t="s">
        <v>90</v>
      </c>
    </row>
    <row r="55" spans="1:11" ht="15.75" x14ac:dyDescent="0.25">
      <c r="A55" s="1">
        <v>3</v>
      </c>
      <c r="B55" s="1">
        <v>1</v>
      </c>
      <c r="C55" s="1">
        <v>6</v>
      </c>
      <c r="D55" s="1" t="s">
        <v>30</v>
      </c>
      <c r="E55" s="1" t="s">
        <v>60</v>
      </c>
      <c r="F55" s="1" t="s">
        <v>59</v>
      </c>
      <c r="G55" s="1" t="s">
        <v>87</v>
      </c>
      <c r="H55" s="1" t="s">
        <v>89</v>
      </c>
      <c r="I55" s="1" t="str">
        <f t="shared" si="1"/>
        <v>Medium</v>
      </c>
      <c r="J55" s="1" t="s">
        <v>18</v>
      </c>
      <c r="K55" s="1" t="s">
        <v>88</v>
      </c>
    </row>
    <row r="56" spans="1:11" ht="15.75" x14ac:dyDescent="0.25">
      <c r="A56" s="1">
        <v>3</v>
      </c>
      <c r="B56" s="1">
        <v>1</v>
      </c>
      <c r="C56" s="1">
        <v>6</v>
      </c>
      <c r="D56" s="1" t="s">
        <v>41</v>
      </c>
      <c r="E56" s="1" t="s">
        <v>60</v>
      </c>
      <c r="F56" s="1" t="s">
        <v>59</v>
      </c>
      <c r="G56" s="1" t="s">
        <v>87</v>
      </c>
      <c r="H56" s="1" t="s">
        <v>14</v>
      </c>
      <c r="I56" s="1" t="str">
        <f t="shared" si="1"/>
        <v>Medium</v>
      </c>
      <c r="J56" s="1" t="s">
        <v>13</v>
      </c>
      <c r="K56" s="1" t="s">
        <v>86</v>
      </c>
    </row>
    <row r="57" spans="1:11" ht="15.75" x14ac:dyDescent="0.25">
      <c r="A57" s="1">
        <v>3</v>
      </c>
      <c r="B57" s="1">
        <v>1</v>
      </c>
      <c r="C57" s="1">
        <v>6</v>
      </c>
      <c r="D57" s="1" t="s">
        <v>11</v>
      </c>
      <c r="E57" s="1" t="s">
        <v>60</v>
      </c>
      <c r="F57" s="1" t="s">
        <v>59</v>
      </c>
      <c r="G57" s="1" t="s">
        <v>77</v>
      </c>
      <c r="H57" s="1" t="s">
        <v>23</v>
      </c>
      <c r="I57" s="1" t="str">
        <f t="shared" si="1"/>
        <v>Low</v>
      </c>
      <c r="J57" s="1" t="s">
        <v>49</v>
      </c>
      <c r="K57" s="1" t="s">
        <v>85</v>
      </c>
    </row>
    <row r="58" spans="1:11" ht="15.75" x14ac:dyDescent="0.25">
      <c r="A58" s="1">
        <v>3</v>
      </c>
      <c r="B58" s="1">
        <v>1</v>
      </c>
      <c r="C58" s="1">
        <v>6</v>
      </c>
      <c r="D58" s="1" t="s">
        <v>9</v>
      </c>
      <c r="E58" s="1" t="s">
        <v>60</v>
      </c>
      <c r="F58" s="1" t="s">
        <v>59</v>
      </c>
      <c r="G58" s="1" t="s">
        <v>77</v>
      </c>
      <c r="H58" s="1" t="s">
        <v>3</v>
      </c>
      <c r="I58" s="1" t="str">
        <f t="shared" si="1"/>
        <v>Medium</v>
      </c>
      <c r="J58" s="1" t="s">
        <v>1</v>
      </c>
      <c r="K58" s="1" t="s">
        <v>84</v>
      </c>
    </row>
    <row r="59" spans="1:11" ht="15.75" x14ac:dyDescent="0.25">
      <c r="A59" s="1">
        <v>3</v>
      </c>
      <c r="B59" s="1">
        <v>1</v>
      </c>
      <c r="C59" s="1">
        <v>6</v>
      </c>
      <c r="D59" s="1" t="s">
        <v>7</v>
      </c>
      <c r="E59" s="1" t="s">
        <v>60</v>
      </c>
      <c r="F59" s="1" t="s">
        <v>59</v>
      </c>
      <c r="G59" s="1" t="s">
        <v>77</v>
      </c>
      <c r="H59" s="1" t="s">
        <v>35</v>
      </c>
      <c r="I59" s="1" t="str">
        <f t="shared" si="1"/>
        <v>High</v>
      </c>
      <c r="J59" s="1" t="s">
        <v>71</v>
      </c>
      <c r="K59" s="1" t="s">
        <v>83</v>
      </c>
    </row>
    <row r="60" spans="1:11" ht="15.75" x14ac:dyDescent="0.25">
      <c r="A60" s="1">
        <v>3</v>
      </c>
      <c r="B60" s="1">
        <v>1</v>
      </c>
      <c r="C60" s="1">
        <v>6</v>
      </c>
      <c r="D60" s="1" t="s">
        <v>20</v>
      </c>
      <c r="E60" s="1" t="s">
        <v>60</v>
      </c>
      <c r="F60" s="1" t="s">
        <v>59</v>
      </c>
      <c r="G60" s="1" t="s">
        <v>77</v>
      </c>
      <c r="H60" s="1" t="s">
        <v>82</v>
      </c>
      <c r="I60" s="1" t="str">
        <f t="shared" si="1"/>
        <v>Medium</v>
      </c>
      <c r="J60" s="1" t="s">
        <v>32</v>
      </c>
      <c r="K60" s="1" t="s">
        <v>81</v>
      </c>
    </row>
    <row r="61" spans="1:11" ht="15.75" x14ac:dyDescent="0.25">
      <c r="A61" s="1">
        <v>3</v>
      </c>
      <c r="B61" s="1">
        <v>1</v>
      </c>
      <c r="C61" s="1">
        <v>6</v>
      </c>
      <c r="D61" s="1" t="s">
        <v>16</v>
      </c>
      <c r="E61" s="1" t="s">
        <v>60</v>
      </c>
      <c r="F61" s="1" t="s">
        <v>59</v>
      </c>
      <c r="G61" s="1" t="s">
        <v>77</v>
      </c>
      <c r="H61" s="1" t="s">
        <v>80</v>
      </c>
      <c r="I61" s="1" t="str">
        <f t="shared" si="1"/>
        <v>Medium</v>
      </c>
      <c r="J61" s="1" t="s">
        <v>13</v>
      </c>
      <c r="K61" s="1" t="s">
        <v>79</v>
      </c>
    </row>
    <row r="62" spans="1:11" ht="15.75" x14ac:dyDescent="0.25">
      <c r="A62" s="1">
        <v>3</v>
      </c>
      <c r="B62" s="1">
        <v>1</v>
      </c>
      <c r="C62" s="1">
        <v>6</v>
      </c>
      <c r="D62" s="1" t="s">
        <v>30</v>
      </c>
      <c r="E62" s="1" t="s">
        <v>60</v>
      </c>
      <c r="F62" s="1" t="s">
        <v>59</v>
      </c>
      <c r="G62" s="1" t="s">
        <v>77</v>
      </c>
      <c r="H62" s="1" t="s">
        <v>76</v>
      </c>
      <c r="I62" s="1" t="str">
        <f t="shared" si="1"/>
        <v>Medium</v>
      </c>
      <c r="J62" s="1" t="s">
        <v>34</v>
      </c>
      <c r="K62" s="1" t="s">
        <v>78</v>
      </c>
    </row>
    <row r="63" spans="1:11" ht="15.75" x14ac:dyDescent="0.25">
      <c r="A63" s="1">
        <v>3</v>
      </c>
      <c r="B63" s="1">
        <v>1</v>
      </c>
      <c r="C63" s="1">
        <v>6</v>
      </c>
      <c r="D63" s="1" t="s">
        <v>41</v>
      </c>
      <c r="E63" s="1" t="s">
        <v>60</v>
      </c>
      <c r="F63" s="1" t="s">
        <v>59</v>
      </c>
      <c r="G63" s="1" t="s">
        <v>77</v>
      </c>
      <c r="H63" s="1" t="s">
        <v>76</v>
      </c>
      <c r="I63" s="1" t="str">
        <f t="shared" si="1"/>
        <v>Medium</v>
      </c>
      <c r="J63" s="1" t="s">
        <v>18</v>
      </c>
      <c r="K63" s="1" t="s">
        <v>75</v>
      </c>
    </row>
    <row r="64" spans="1:11" ht="15.75" x14ac:dyDescent="0.25">
      <c r="A64" s="1">
        <v>3</v>
      </c>
      <c r="B64" s="1">
        <v>1</v>
      </c>
      <c r="C64" s="1">
        <v>6</v>
      </c>
      <c r="D64" s="1" t="s">
        <v>11</v>
      </c>
      <c r="E64" s="1" t="s">
        <v>60</v>
      </c>
      <c r="F64" s="1" t="s">
        <v>59</v>
      </c>
      <c r="G64" s="1" t="s">
        <v>64</v>
      </c>
      <c r="H64" s="1" t="s">
        <v>23</v>
      </c>
      <c r="I64" s="1" t="str">
        <f t="shared" si="1"/>
        <v>Low</v>
      </c>
      <c r="J64" s="1" t="s">
        <v>49</v>
      </c>
      <c r="K64" s="1" t="s">
        <v>74</v>
      </c>
    </row>
    <row r="65" spans="1:11" ht="15.75" x14ac:dyDescent="0.25">
      <c r="A65" s="1">
        <v>3</v>
      </c>
      <c r="B65" s="1">
        <v>1</v>
      </c>
      <c r="C65" s="1">
        <v>6</v>
      </c>
      <c r="D65" s="1" t="s">
        <v>9</v>
      </c>
      <c r="E65" s="1" t="s">
        <v>60</v>
      </c>
      <c r="F65" s="1" t="s">
        <v>59</v>
      </c>
      <c r="G65" s="1" t="s">
        <v>64</v>
      </c>
      <c r="H65" s="1" t="s">
        <v>23</v>
      </c>
      <c r="I65" s="1" t="str">
        <f t="shared" si="1"/>
        <v>Medium</v>
      </c>
      <c r="J65" s="1" t="s">
        <v>1</v>
      </c>
      <c r="K65" s="1" t="s">
        <v>73</v>
      </c>
    </row>
    <row r="66" spans="1:11" ht="15.75" x14ac:dyDescent="0.25">
      <c r="A66" s="1">
        <v>3</v>
      </c>
      <c r="B66" s="1">
        <v>1</v>
      </c>
      <c r="C66" s="1">
        <v>6</v>
      </c>
      <c r="D66" s="1" t="s">
        <v>7</v>
      </c>
      <c r="E66" s="1" t="s">
        <v>60</v>
      </c>
      <c r="F66" s="1" t="s">
        <v>59</v>
      </c>
      <c r="G66" s="1" t="s">
        <v>64</v>
      </c>
      <c r="H66" s="1" t="s">
        <v>3</v>
      </c>
      <c r="I66" s="1" t="str">
        <f t="shared" si="1"/>
        <v>Medium</v>
      </c>
      <c r="J66" s="1" t="s">
        <v>34</v>
      </c>
      <c r="K66" s="1" t="s">
        <v>72</v>
      </c>
    </row>
    <row r="67" spans="1:11" ht="15.75" x14ac:dyDescent="0.25">
      <c r="A67" s="1">
        <v>3</v>
      </c>
      <c r="B67" s="1">
        <v>1</v>
      </c>
      <c r="C67" s="1">
        <v>6</v>
      </c>
      <c r="D67" s="1" t="s">
        <v>20</v>
      </c>
      <c r="E67" s="1" t="s">
        <v>60</v>
      </c>
      <c r="F67" s="1" t="s">
        <v>59</v>
      </c>
      <c r="G67" s="1" t="s">
        <v>64</v>
      </c>
      <c r="H67" s="1" t="s">
        <v>35</v>
      </c>
      <c r="I67" s="1" t="str">
        <f t="shared" si="1"/>
        <v>High</v>
      </c>
      <c r="J67" s="1" t="s">
        <v>71</v>
      </c>
      <c r="K67" s="1" t="s">
        <v>70</v>
      </c>
    </row>
    <row r="68" spans="1:11" ht="15.75" x14ac:dyDescent="0.25">
      <c r="A68" s="1">
        <v>3</v>
      </c>
      <c r="B68" s="1">
        <v>1</v>
      </c>
      <c r="C68" s="1">
        <v>6</v>
      </c>
      <c r="D68" s="1" t="s">
        <v>16</v>
      </c>
      <c r="E68" s="1" t="s">
        <v>60</v>
      </c>
      <c r="F68" s="1" t="s">
        <v>59</v>
      </c>
      <c r="G68" s="1" t="s">
        <v>64</v>
      </c>
      <c r="H68" s="1" t="s">
        <v>35</v>
      </c>
      <c r="I68" s="1" t="str">
        <f t="shared" si="1"/>
        <v>Medium</v>
      </c>
      <c r="J68" s="1" t="s">
        <v>32</v>
      </c>
      <c r="K68" s="1" t="s">
        <v>69</v>
      </c>
    </row>
    <row r="69" spans="1:11" ht="15.75" x14ac:dyDescent="0.25">
      <c r="A69" s="1">
        <v>3</v>
      </c>
      <c r="B69" s="1">
        <v>1</v>
      </c>
      <c r="C69" s="1">
        <v>6</v>
      </c>
      <c r="D69" s="1" t="s">
        <v>30</v>
      </c>
      <c r="E69" s="1" t="s">
        <v>60</v>
      </c>
      <c r="F69" s="1" t="s">
        <v>59</v>
      </c>
      <c r="G69" s="1" t="s">
        <v>64</v>
      </c>
      <c r="H69" s="1" t="s">
        <v>19</v>
      </c>
      <c r="I69" s="1" t="str">
        <f t="shared" si="1"/>
        <v>Medium</v>
      </c>
      <c r="J69" s="1" t="s">
        <v>18</v>
      </c>
      <c r="K69" s="1" t="s">
        <v>68</v>
      </c>
    </row>
    <row r="70" spans="1:11" ht="15.75" x14ac:dyDescent="0.25">
      <c r="A70" s="1">
        <v>3</v>
      </c>
      <c r="B70" s="1">
        <v>1</v>
      </c>
      <c r="C70" s="1">
        <v>6</v>
      </c>
      <c r="D70" s="1" t="s">
        <v>41</v>
      </c>
      <c r="E70" s="1" t="s">
        <v>60</v>
      </c>
      <c r="F70" s="1" t="s">
        <v>59</v>
      </c>
      <c r="G70" s="1" t="s">
        <v>64</v>
      </c>
      <c r="H70" s="1" t="s">
        <v>43</v>
      </c>
      <c r="I70" s="1" t="str">
        <f t="shared" si="1"/>
        <v>Medium</v>
      </c>
      <c r="J70" s="1" t="s">
        <v>67</v>
      </c>
      <c r="K70" s="1" t="s">
        <v>66</v>
      </c>
    </row>
    <row r="71" spans="1:11" ht="15.75" x14ac:dyDescent="0.25">
      <c r="A71" s="1">
        <v>3</v>
      </c>
      <c r="B71" s="1">
        <v>1</v>
      </c>
      <c r="C71" s="1">
        <v>6</v>
      </c>
      <c r="D71" s="1" t="s">
        <v>65</v>
      </c>
      <c r="E71" s="1" t="s">
        <v>60</v>
      </c>
      <c r="F71" s="1" t="s">
        <v>59</v>
      </c>
      <c r="G71" s="1" t="s">
        <v>64</v>
      </c>
      <c r="H71" s="1" t="s">
        <v>35</v>
      </c>
      <c r="I71" s="1" t="str">
        <f t="shared" si="1"/>
        <v>Medium</v>
      </c>
      <c r="J71" s="1" t="s">
        <v>63</v>
      </c>
      <c r="K71" s="1" t="s">
        <v>39</v>
      </c>
    </row>
    <row r="72" spans="1:11" ht="15.75" x14ac:dyDescent="0.25">
      <c r="A72" s="1">
        <v>3</v>
      </c>
      <c r="B72" s="1">
        <v>0</v>
      </c>
      <c r="C72" s="1">
        <v>6</v>
      </c>
      <c r="D72" s="1" t="s">
        <v>11</v>
      </c>
      <c r="E72" s="1" t="s">
        <v>60</v>
      </c>
      <c r="F72" s="1" t="s">
        <v>59</v>
      </c>
      <c r="G72" s="1" t="s">
        <v>58</v>
      </c>
      <c r="H72" s="1" t="s">
        <v>23</v>
      </c>
      <c r="I72" s="1" t="str">
        <f t="shared" si="1"/>
        <v>Medium</v>
      </c>
      <c r="J72" s="1" t="s">
        <v>1</v>
      </c>
      <c r="K72" s="1" t="s">
        <v>62</v>
      </c>
    </row>
    <row r="73" spans="1:11" ht="15.75" x14ac:dyDescent="0.25">
      <c r="A73" s="1">
        <v>3</v>
      </c>
      <c r="B73" s="1">
        <v>0</v>
      </c>
      <c r="C73" s="1">
        <v>6</v>
      </c>
      <c r="D73" s="1" t="s">
        <v>9</v>
      </c>
      <c r="E73" s="1" t="s">
        <v>60</v>
      </c>
      <c r="F73" s="1" t="s">
        <v>59</v>
      </c>
      <c r="G73" s="1" t="s">
        <v>58</v>
      </c>
      <c r="H73" s="1" t="s">
        <v>3</v>
      </c>
      <c r="I73" s="1" t="str">
        <f t="shared" si="1"/>
        <v>Medium</v>
      </c>
      <c r="J73" s="1" t="s">
        <v>34</v>
      </c>
      <c r="K73" s="1" t="s">
        <v>61</v>
      </c>
    </row>
    <row r="74" spans="1:11" ht="15.75" x14ac:dyDescent="0.25">
      <c r="A74" s="1">
        <v>3</v>
      </c>
      <c r="B74" s="1">
        <v>0</v>
      </c>
      <c r="C74" s="1">
        <v>6</v>
      </c>
      <c r="D74" s="1" t="s">
        <v>7</v>
      </c>
      <c r="E74" s="1" t="s">
        <v>60</v>
      </c>
      <c r="F74" s="1" t="s">
        <v>59</v>
      </c>
      <c r="G74" s="1" t="s">
        <v>58</v>
      </c>
      <c r="H74" s="1" t="s">
        <v>35</v>
      </c>
      <c r="I74" s="1" t="str">
        <f t="shared" si="1"/>
        <v>High</v>
      </c>
      <c r="J74" s="1" t="s">
        <v>56</v>
      </c>
      <c r="K74" s="1" t="s">
        <v>55</v>
      </c>
    </row>
    <row r="75" spans="1:11" ht="15.75" x14ac:dyDescent="0.25">
      <c r="A75" s="3">
        <v>3</v>
      </c>
      <c r="B75" s="3">
        <v>1</v>
      </c>
      <c r="C75" s="1">
        <v>5</v>
      </c>
      <c r="D75" s="1" t="s">
        <v>11</v>
      </c>
      <c r="E75" s="1" t="s">
        <v>60</v>
      </c>
      <c r="F75" s="1" t="s">
        <v>59</v>
      </c>
      <c r="G75" s="1" t="s">
        <v>233</v>
      </c>
      <c r="H75" s="1" t="s">
        <v>23</v>
      </c>
      <c r="I75" s="1" t="str">
        <f t="shared" si="1"/>
        <v>Low</v>
      </c>
      <c r="J75" s="1" t="s">
        <v>49</v>
      </c>
      <c r="K75" s="1" t="s">
        <v>234</v>
      </c>
    </row>
    <row r="76" spans="1:11" ht="15.75" x14ac:dyDescent="0.25">
      <c r="A76" s="3">
        <v>3</v>
      </c>
      <c r="B76" s="3">
        <v>1</v>
      </c>
      <c r="C76" s="1">
        <v>5</v>
      </c>
      <c r="D76" s="1" t="s">
        <v>9</v>
      </c>
      <c r="E76" s="1" t="s">
        <v>60</v>
      </c>
      <c r="F76" s="1" t="s">
        <v>59</v>
      </c>
      <c r="G76" s="1" t="s">
        <v>233</v>
      </c>
      <c r="H76" s="1" t="s">
        <v>3</v>
      </c>
      <c r="I76" s="1" t="str">
        <f t="shared" si="1"/>
        <v>Medium</v>
      </c>
      <c r="J76" s="1" t="s">
        <v>1</v>
      </c>
      <c r="K76" s="1" t="s">
        <v>235</v>
      </c>
    </row>
    <row r="77" spans="1:11" ht="15.75" x14ac:dyDescent="0.25">
      <c r="A77" s="3">
        <v>3</v>
      </c>
      <c r="B77" s="3">
        <v>1</v>
      </c>
      <c r="C77" s="1">
        <v>5</v>
      </c>
      <c r="D77" s="1" t="s">
        <v>7</v>
      </c>
      <c r="E77" s="1" t="s">
        <v>60</v>
      </c>
      <c r="F77" s="1" t="s">
        <v>59</v>
      </c>
      <c r="G77" s="1" t="s">
        <v>233</v>
      </c>
      <c r="H77" s="1" t="s">
        <v>35</v>
      </c>
      <c r="I77" s="1" t="str">
        <f t="shared" si="1"/>
        <v>Medium</v>
      </c>
      <c r="J77" s="1" t="s">
        <v>34</v>
      </c>
      <c r="K77" s="1" t="s">
        <v>236</v>
      </c>
    </row>
    <row r="78" spans="1:11" ht="15.75" x14ac:dyDescent="0.25">
      <c r="A78" s="3">
        <v>3</v>
      </c>
      <c r="B78" s="3">
        <v>1</v>
      </c>
      <c r="C78" s="1">
        <v>5</v>
      </c>
      <c r="D78" s="1" t="s">
        <v>20</v>
      </c>
      <c r="E78" s="1" t="s">
        <v>60</v>
      </c>
      <c r="F78" s="1" t="s">
        <v>59</v>
      </c>
      <c r="G78" s="1" t="s">
        <v>233</v>
      </c>
      <c r="H78" s="1" t="s">
        <v>14</v>
      </c>
      <c r="I78" s="1" t="str">
        <f t="shared" si="1"/>
        <v>Medium</v>
      </c>
      <c r="J78" s="1" t="s">
        <v>32</v>
      </c>
      <c r="K78" s="1" t="s">
        <v>214</v>
      </c>
    </row>
    <row r="79" spans="1:11" ht="15.75" x14ac:dyDescent="0.25">
      <c r="A79" s="3">
        <v>3</v>
      </c>
      <c r="B79" s="3">
        <v>1</v>
      </c>
      <c r="C79" s="1">
        <v>5</v>
      </c>
      <c r="D79" s="1" t="s">
        <v>16</v>
      </c>
      <c r="E79" s="1" t="s">
        <v>60</v>
      </c>
      <c r="F79" s="1" t="s">
        <v>59</v>
      </c>
      <c r="G79" s="1" t="s">
        <v>233</v>
      </c>
      <c r="H79" s="1" t="s">
        <v>19</v>
      </c>
      <c r="I79" s="1" t="str">
        <f t="shared" si="1"/>
        <v>Medium</v>
      </c>
      <c r="J79" s="1" t="s">
        <v>18</v>
      </c>
      <c r="K79" s="1" t="s">
        <v>215</v>
      </c>
    </row>
    <row r="80" spans="1:11" ht="15.75" x14ac:dyDescent="0.25">
      <c r="A80" s="3">
        <v>3</v>
      </c>
      <c r="B80" s="3">
        <v>1</v>
      </c>
      <c r="C80" s="1">
        <v>5</v>
      </c>
      <c r="D80" s="1" t="s">
        <v>30</v>
      </c>
      <c r="E80" s="1" t="s">
        <v>60</v>
      </c>
      <c r="F80" s="1" t="s">
        <v>59</v>
      </c>
      <c r="G80" s="1" t="s">
        <v>233</v>
      </c>
      <c r="H80" s="1" t="s">
        <v>43</v>
      </c>
      <c r="I80" s="1" t="str">
        <f t="shared" si="1"/>
        <v>Medium</v>
      </c>
      <c r="J80" s="1" t="s">
        <v>18</v>
      </c>
      <c r="K80" s="1" t="s">
        <v>216</v>
      </c>
    </row>
    <row r="81" spans="1:11" ht="15.75" x14ac:dyDescent="0.25">
      <c r="A81" s="3">
        <v>3</v>
      </c>
      <c r="B81" s="3">
        <v>1</v>
      </c>
      <c r="C81" s="1">
        <v>5</v>
      </c>
      <c r="D81" s="1" t="s">
        <v>41</v>
      </c>
      <c r="E81" s="1" t="s">
        <v>60</v>
      </c>
      <c r="F81" s="1" t="s">
        <v>59</v>
      </c>
      <c r="G81" s="1" t="s">
        <v>233</v>
      </c>
      <c r="H81" s="1" t="s">
        <v>35</v>
      </c>
      <c r="I81" s="1" t="str">
        <f t="shared" si="1"/>
        <v>Medium</v>
      </c>
      <c r="J81" s="1" t="s">
        <v>34</v>
      </c>
      <c r="K81" s="1" t="s">
        <v>217</v>
      </c>
    </row>
    <row r="82" spans="1:11" ht="15.75" x14ac:dyDescent="0.25">
      <c r="A82" s="3">
        <v>3</v>
      </c>
      <c r="B82" s="3">
        <v>0</v>
      </c>
      <c r="C82" s="1">
        <v>5</v>
      </c>
      <c r="D82" s="1" t="s">
        <v>11</v>
      </c>
      <c r="E82" s="1" t="s">
        <v>60</v>
      </c>
      <c r="F82" s="1" t="s">
        <v>59</v>
      </c>
      <c r="G82" s="1" t="s">
        <v>237</v>
      </c>
      <c r="H82" s="1" t="s">
        <v>3</v>
      </c>
      <c r="I82" s="1" t="str">
        <f t="shared" si="1"/>
        <v>Low</v>
      </c>
      <c r="J82" s="1" t="s">
        <v>49</v>
      </c>
      <c r="K82" s="1" t="s">
        <v>238</v>
      </c>
    </row>
    <row r="83" spans="1:11" ht="15.75" x14ac:dyDescent="0.25">
      <c r="A83" s="3">
        <v>3</v>
      </c>
      <c r="B83" s="3">
        <v>0</v>
      </c>
      <c r="C83" s="1">
        <v>5</v>
      </c>
      <c r="D83" s="1" t="s">
        <v>9</v>
      </c>
      <c r="E83" s="1" t="s">
        <v>60</v>
      </c>
      <c r="F83" s="1" t="s">
        <v>59</v>
      </c>
      <c r="G83" s="1" t="s">
        <v>237</v>
      </c>
      <c r="H83" s="1" t="s">
        <v>3</v>
      </c>
      <c r="I83" s="1" t="str">
        <f t="shared" si="1"/>
        <v>Medium</v>
      </c>
      <c r="J83" s="1" t="s">
        <v>1</v>
      </c>
      <c r="K83" s="1" t="s">
        <v>239</v>
      </c>
    </row>
    <row r="84" spans="1:11" ht="15.75" x14ac:dyDescent="0.25">
      <c r="A84" s="3">
        <v>3</v>
      </c>
      <c r="B84" s="3">
        <v>0</v>
      </c>
      <c r="C84" s="1">
        <v>5</v>
      </c>
      <c r="D84" s="1" t="s">
        <v>7</v>
      </c>
      <c r="E84" s="1" t="s">
        <v>60</v>
      </c>
      <c r="F84" s="1" t="s">
        <v>59</v>
      </c>
      <c r="G84" s="1" t="s">
        <v>237</v>
      </c>
      <c r="H84" s="1" t="s">
        <v>14</v>
      </c>
      <c r="I84" s="1" t="str">
        <f t="shared" si="1"/>
        <v>Medium</v>
      </c>
      <c r="J84" s="1" t="s">
        <v>1</v>
      </c>
      <c r="K84" s="1" t="s">
        <v>240</v>
      </c>
    </row>
    <row r="85" spans="1:11" ht="15.75" x14ac:dyDescent="0.25">
      <c r="A85" s="3">
        <v>3</v>
      </c>
      <c r="B85" s="3">
        <v>1</v>
      </c>
      <c r="C85" s="1">
        <v>5</v>
      </c>
      <c r="D85" s="1" t="s">
        <v>11</v>
      </c>
      <c r="E85" s="1" t="s">
        <v>60</v>
      </c>
      <c r="F85" s="1" t="s">
        <v>59</v>
      </c>
      <c r="G85" s="1" t="s">
        <v>241</v>
      </c>
      <c r="H85" s="1" t="s">
        <v>23</v>
      </c>
      <c r="I85" s="1" t="str">
        <f t="shared" si="1"/>
        <v>Low</v>
      </c>
      <c r="J85" s="1" t="s">
        <v>49</v>
      </c>
      <c r="K85" s="1" t="s">
        <v>242</v>
      </c>
    </row>
    <row r="86" spans="1:11" ht="15.75" x14ac:dyDescent="0.25">
      <c r="A86" s="3">
        <v>3</v>
      </c>
      <c r="B86" s="3">
        <v>1</v>
      </c>
      <c r="C86" s="1">
        <v>5</v>
      </c>
      <c r="D86" s="1" t="s">
        <v>9</v>
      </c>
      <c r="E86" s="1" t="s">
        <v>60</v>
      </c>
      <c r="F86" s="1" t="s">
        <v>59</v>
      </c>
      <c r="G86" s="1" t="s">
        <v>241</v>
      </c>
      <c r="H86" s="1" t="s">
        <v>23</v>
      </c>
      <c r="I86" s="1" t="str">
        <f t="shared" si="1"/>
        <v>Medium</v>
      </c>
      <c r="J86" s="1" t="s">
        <v>1</v>
      </c>
      <c r="K86" s="1" t="s">
        <v>243</v>
      </c>
    </row>
    <row r="87" spans="1:11" ht="15.75" x14ac:dyDescent="0.25">
      <c r="A87" s="3">
        <v>3</v>
      </c>
      <c r="B87" s="3">
        <v>1</v>
      </c>
      <c r="C87" s="1">
        <v>5</v>
      </c>
      <c r="D87" s="1" t="s">
        <v>7</v>
      </c>
      <c r="E87" s="1" t="s">
        <v>60</v>
      </c>
      <c r="F87" s="1" t="s">
        <v>59</v>
      </c>
      <c r="G87" s="1" t="s">
        <v>241</v>
      </c>
      <c r="H87" s="1" t="s">
        <v>3</v>
      </c>
      <c r="I87" s="1" t="str">
        <f t="shared" si="1"/>
        <v>Medium</v>
      </c>
      <c r="J87" s="1" t="s">
        <v>1</v>
      </c>
      <c r="K87" s="1" t="s">
        <v>244</v>
      </c>
    </row>
    <row r="88" spans="1:11" ht="15.75" x14ac:dyDescent="0.25">
      <c r="A88" s="3">
        <v>3</v>
      </c>
      <c r="B88" s="3">
        <v>1</v>
      </c>
      <c r="C88" s="1">
        <v>5</v>
      </c>
      <c r="D88" s="1" t="s">
        <v>20</v>
      </c>
      <c r="E88" s="1" t="s">
        <v>60</v>
      </c>
      <c r="F88" s="1" t="s">
        <v>59</v>
      </c>
      <c r="G88" s="1" t="s">
        <v>241</v>
      </c>
      <c r="H88" s="1" t="s">
        <v>35</v>
      </c>
      <c r="I88" s="1" t="str">
        <f t="shared" si="1"/>
        <v>Medium</v>
      </c>
      <c r="J88" s="1" t="s">
        <v>34</v>
      </c>
      <c r="K88" s="1" t="s">
        <v>245</v>
      </c>
    </row>
    <row r="89" spans="1:11" ht="15.75" x14ac:dyDescent="0.25">
      <c r="A89" s="3">
        <v>3</v>
      </c>
      <c r="B89" s="3">
        <v>1</v>
      </c>
      <c r="C89" s="1">
        <v>5</v>
      </c>
      <c r="D89" s="1" t="s">
        <v>16</v>
      </c>
      <c r="E89" s="1" t="s">
        <v>60</v>
      </c>
      <c r="F89" s="1" t="s">
        <v>59</v>
      </c>
      <c r="G89" s="1" t="s">
        <v>241</v>
      </c>
      <c r="H89" s="1" t="s">
        <v>14</v>
      </c>
      <c r="I89" s="1" t="str">
        <f t="shared" ref="I89:I152" si="2">IF(OR(RIGHT(J89,1)="1",RIGHT(J89,1)="2"),"Low",
IF(OR(RIGHT(J89,1)="3",RIGHT(J89,1)="4"),"Medium",
IF(OR(RIGHT(J89,1)="5",RIGHT(J89,1)="6"),"High","")))</f>
        <v>Medium</v>
      </c>
      <c r="J89" s="1" t="s">
        <v>32</v>
      </c>
      <c r="K89" s="1" t="s">
        <v>214</v>
      </c>
    </row>
    <row r="90" spans="1:11" ht="15.75" x14ac:dyDescent="0.25">
      <c r="A90" s="3">
        <v>3</v>
      </c>
      <c r="B90" s="3">
        <v>1</v>
      </c>
      <c r="C90" s="1">
        <v>5</v>
      </c>
      <c r="D90" s="1" t="s">
        <v>30</v>
      </c>
      <c r="E90" s="1" t="s">
        <v>60</v>
      </c>
      <c r="F90" s="1" t="s">
        <v>59</v>
      </c>
      <c r="G90" s="1" t="s">
        <v>241</v>
      </c>
      <c r="H90" s="1" t="s">
        <v>19</v>
      </c>
      <c r="I90" s="1" t="str">
        <f t="shared" si="2"/>
        <v>Medium</v>
      </c>
      <c r="J90" s="1" t="s">
        <v>18</v>
      </c>
      <c r="K90" s="1" t="s">
        <v>215</v>
      </c>
    </row>
    <row r="91" spans="1:11" ht="15.75" x14ac:dyDescent="0.25">
      <c r="A91" s="3">
        <v>3</v>
      </c>
      <c r="B91" s="3">
        <v>1</v>
      </c>
      <c r="C91" s="1">
        <v>5</v>
      </c>
      <c r="D91" s="1" t="s">
        <v>41</v>
      </c>
      <c r="E91" s="1" t="s">
        <v>60</v>
      </c>
      <c r="F91" s="1" t="s">
        <v>59</v>
      </c>
      <c r="G91" s="1" t="s">
        <v>241</v>
      </c>
      <c r="H91" s="1" t="s">
        <v>43</v>
      </c>
      <c r="I91" s="1" t="str">
        <f t="shared" si="2"/>
        <v>Medium</v>
      </c>
      <c r="J91" s="1" t="s">
        <v>18</v>
      </c>
      <c r="K91" s="1" t="s">
        <v>216</v>
      </c>
    </row>
    <row r="92" spans="1:11" ht="15.75" x14ac:dyDescent="0.25">
      <c r="A92" s="3">
        <v>3</v>
      </c>
      <c r="B92" s="3">
        <v>1</v>
      </c>
      <c r="C92" s="1">
        <v>5</v>
      </c>
      <c r="D92" s="1" t="s">
        <v>65</v>
      </c>
      <c r="E92" s="1" t="s">
        <v>60</v>
      </c>
      <c r="F92" s="1" t="s">
        <v>59</v>
      </c>
      <c r="G92" s="1" t="s">
        <v>241</v>
      </c>
      <c r="H92" s="1" t="s">
        <v>35</v>
      </c>
      <c r="I92" s="1" t="str">
        <f t="shared" si="2"/>
        <v>Medium</v>
      </c>
      <c r="J92" s="1" t="s">
        <v>34</v>
      </c>
      <c r="K92" s="1" t="s">
        <v>217</v>
      </c>
    </row>
    <row r="93" spans="1:11" ht="15.75" x14ac:dyDescent="0.25">
      <c r="A93" s="3">
        <v>2</v>
      </c>
      <c r="B93" s="3">
        <v>0</v>
      </c>
      <c r="C93" s="1">
        <v>5</v>
      </c>
      <c r="D93" s="1" t="s">
        <v>11</v>
      </c>
      <c r="E93" s="1" t="s">
        <v>60</v>
      </c>
      <c r="F93" s="1" t="s">
        <v>59</v>
      </c>
      <c r="G93" s="1" t="s">
        <v>246</v>
      </c>
      <c r="H93" s="1" t="s">
        <v>96</v>
      </c>
      <c r="I93" s="1" t="str">
        <f t="shared" si="2"/>
        <v>Low</v>
      </c>
      <c r="J93" s="1" t="s">
        <v>49</v>
      </c>
      <c r="K93" s="1" t="s">
        <v>247</v>
      </c>
    </row>
    <row r="94" spans="1:11" ht="15.75" x14ac:dyDescent="0.25">
      <c r="A94" s="3">
        <v>2</v>
      </c>
      <c r="B94" s="3">
        <v>0</v>
      </c>
      <c r="C94" s="1">
        <v>5</v>
      </c>
      <c r="D94" s="1" t="s">
        <v>9</v>
      </c>
      <c r="E94" s="1" t="s">
        <v>60</v>
      </c>
      <c r="F94" s="1" t="s">
        <v>59</v>
      </c>
      <c r="G94" s="1" t="s">
        <v>246</v>
      </c>
      <c r="H94" s="1" t="s">
        <v>96</v>
      </c>
      <c r="I94" s="1" t="str">
        <f t="shared" si="2"/>
        <v>Medium</v>
      </c>
      <c r="J94" s="1" t="s">
        <v>34</v>
      </c>
      <c r="K94" s="1" t="s">
        <v>248</v>
      </c>
    </row>
    <row r="95" spans="1:11" ht="15.75" x14ac:dyDescent="0.25">
      <c r="A95" s="3">
        <v>2</v>
      </c>
      <c r="B95" s="3">
        <v>0</v>
      </c>
      <c r="C95" s="1">
        <v>5</v>
      </c>
      <c r="D95" s="1" t="s">
        <v>7</v>
      </c>
      <c r="E95" s="1" t="s">
        <v>60</v>
      </c>
      <c r="F95" s="1" t="s">
        <v>59</v>
      </c>
      <c r="G95" s="1" t="s">
        <v>246</v>
      </c>
      <c r="H95" s="1" t="s">
        <v>96</v>
      </c>
      <c r="I95" s="1" t="str">
        <f t="shared" si="2"/>
        <v>Low</v>
      </c>
      <c r="J95" s="1" t="s">
        <v>49</v>
      </c>
      <c r="K95" s="1" t="s">
        <v>249</v>
      </c>
    </row>
    <row r="96" spans="1:11" ht="15.75" x14ac:dyDescent="0.25">
      <c r="A96" s="1">
        <v>3</v>
      </c>
      <c r="B96" s="1">
        <v>0</v>
      </c>
      <c r="C96" s="1">
        <v>4</v>
      </c>
      <c r="D96" s="1" t="s">
        <v>11</v>
      </c>
      <c r="E96" s="1" t="s">
        <v>29</v>
      </c>
      <c r="F96" s="1" t="s">
        <v>28</v>
      </c>
      <c r="G96" s="1" t="s">
        <v>52</v>
      </c>
      <c r="H96" s="1" t="s">
        <v>3</v>
      </c>
      <c r="I96" s="1" t="str">
        <f t="shared" si="2"/>
        <v>Low</v>
      </c>
      <c r="J96" s="1" t="s">
        <v>49</v>
      </c>
      <c r="K96" s="1" t="s">
        <v>54</v>
      </c>
    </row>
    <row r="97" spans="1:11" ht="15.75" x14ac:dyDescent="0.25">
      <c r="A97" s="1">
        <v>3</v>
      </c>
      <c r="B97" s="1">
        <v>0</v>
      </c>
      <c r="C97" s="1">
        <v>4</v>
      </c>
      <c r="D97" s="1" t="s">
        <v>9</v>
      </c>
      <c r="E97" s="1" t="s">
        <v>29</v>
      </c>
      <c r="F97" s="1" t="s">
        <v>28</v>
      </c>
      <c r="G97" s="1" t="s">
        <v>52</v>
      </c>
      <c r="H97" s="1" t="s">
        <v>3</v>
      </c>
      <c r="I97" s="1" t="str">
        <f t="shared" si="2"/>
        <v>Medium</v>
      </c>
      <c r="J97" s="1" t="s">
        <v>1</v>
      </c>
      <c r="K97" s="1" t="s">
        <v>53</v>
      </c>
    </row>
    <row r="98" spans="1:11" ht="15.75" x14ac:dyDescent="0.25">
      <c r="A98" s="1">
        <v>3</v>
      </c>
      <c r="B98" s="1">
        <v>0</v>
      </c>
      <c r="C98" s="1">
        <v>4</v>
      </c>
      <c r="D98" s="1" t="s">
        <v>7</v>
      </c>
      <c r="E98" s="1" t="s">
        <v>29</v>
      </c>
      <c r="F98" s="1" t="s">
        <v>28</v>
      </c>
      <c r="G98" s="1" t="s">
        <v>52</v>
      </c>
      <c r="H98" s="1" t="s">
        <v>3</v>
      </c>
      <c r="I98" s="1" t="str">
        <f t="shared" si="2"/>
        <v>Medium</v>
      </c>
      <c r="J98" s="1" t="s">
        <v>1</v>
      </c>
      <c r="K98" s="1" t="s">
        <v>51</v>
      </c>
    </row>
    <row r="99" spans="1:11" ht="15.75" x14ac:dyDescent="0.25">
      <c r="A99" s="1">
        <v>3</v>
      </c>
      <c r="B99" s="1">
        <v>1</v>
      </c>
      <c r="C99" s="1">
        <v>4</v>
      </c>
      <c r="D99" s="1" t="s">
        <v>11</v>
      </c>
      <c r="E99" s="1" t="s">
        <v>29</v>
      </c>
      <c r="F99" s="1" t="s">
        <v>28</v>
      </c>
      <c r="G99" s="1" t="s">
        <v>40</v>
      </c>
      <c r="H99" s="1" t="s">
        <v>23</v>
      </c>
      <c r="I99" s="1" t="str">
        <f t="shared" si="2"/>
        <v>Low</v>
      </c>
      <c r="J99" s="1" t="s">
        <v>49</v>
      </c>
      <c r="K99" s="1" t="s">
        <v>48</v>
      </c>
    </row>
    <row r="100" spans="1:11" ht="15.75" x14ac:dyDescent="0.25">
      <c r="A100" s="1">
        <v>3</v>
      </c>
      <c r="B100" s="1">
        <v>1</v>
      </c>
      <c r="C100" s="1">
        <v>4</v>
      </c>
      <c r="D100" s="1" t="s">
        <v>9</v>
      </c>
      <c r="E100" s="1" t="s">
        <v>29</v>
      </c>
      <c r="F100" s="1" t="s">
        <v>28</v>
      </c>
      <c r="G100" s="1" t="s">
        <v>40</v>
      </c>
      <c r="H100" s="1" t="s">
        <v>3</v>
      </c>
      <c r="I100" s="1" t="str">
        <f t="shared" si="2"/>
        <v>Medium</v>
      </c>
      <c r="J100" s="1" t="s">
        <v>1</v>
      </c>
      <c r="K100" s="1" t="s">
        <v>47</v>
      </c>
    </row>
    <row r="101" spans="1:11" ht="15.75" x14ac:dyDescent="0.25">
      <c r="A101" s="1">
        <v>3</v>
      </c>
      <c r="B101" s="1">
        <v>1</v>
      </c>
      <c r="C101" s="1">
        <v>4</v>
      </c>
      <c r="D101" s="1" t="s">
        <v>7</v>
      </c>
      <c r="E101" s="1" t="s">
        <v>29</v>
      </c>
      <c r="F101" s="1" t="s">
        <v>28</v>
      </c>
      <c r="G101" s="1" t="s">
        <v>40</v>
      </c>
      <c r="H101" s="1" t="s">
        <v>35</v>
      </c>
      <c r="I101" s="1" t="str">
        <f t="shared" si="2"/>
        <v>Medium</v>
      </c>
      <c r="J101" s="1" t="s">
        <v>34</v>
      </c>
      <c r="K101" s="1" t="s">
        <v>46</v>
      </c>
    </row>
    <row r="102" spans="1:11" ht="15.75" x14ac:dyDescent="0.25">
      <c r="A102" s="1">
        <v>3</v>
      </c>
      <c r="B102" s="1">
        <v>1</v>
      </c>
      <c r="C102" s="1">
        <v>4</v>
      </c>
      <c r="D102" s="1" t="s">
        <v>20</v>
      </c>
      <c r="E102" s="1" t="s">
        <v>29</v>
      </c>
      <c r="F102" s="1" t="s">
        <v>28</v>
      </c>
      <c r="G102" s="1" t="s">
        <v>40</v>
      </c>
      <c r="H102" s="1" t="s">
        <v>35</v>
      </c>
      <c r="I102" s="1" t="str">
        <f t="shared" si="2"/>
        <v>Medium</v>
      </c>
      <c r="J102" s="1" t="s">
        <v>32</v>
      </c>
      <c r="K102" s="1" t="s">
        <v>45</v>
      </c>
    </row>
    <row r="103" spans="1:11" ht="15.75" x14ac:dyDescent="0.25">
      <c r="A103" s="1">
        <v>3</v>
      </c>
      <c r="B103" s="1">
        <v>1</v>
      </c>
      <c r="C103" s="1">
        <v>4</v>
      </c>
      <c r="D103" s="1" t="s">
        <v>16</v>
      </c>
      <c r="E103" s="1" t="s">
        <v>29</v>
      </c>
      <c r="F103" s="1" t="s">
        <v>28</v>
      </c>
      <c r="G103" s="1" t="s">
        <v>40</v>
      </c>
      <c r="H103" s="1" t="s">
        <v>19</v>
      </c>
      <c r="I103" s="1" t="str">
        <f t="shared" si="2"/>
        <v>Medium</v>
      </c>
      <c r="J103" s="1" t="s">
        <v>18</v>
      </c>
      <c r="K103" s="1" t="s">
        <v>44</v>
      </c>
    </row>
    <row r="104" spans="1:11" ht="15.75" x14ac:dyDescent="0.25">
      <c r="A104" s="1">
        <v>3</v>
      </c>
      <c r="B104" s="1">
        <v>1</v>
      </c>
      <c r="C104" s="1">
        <v>4</v>
      </c>
      <c r="D104" s="1" t="s">
        <v>30</v>
      </c>
      <c r="E104" s="1" t="s">
        <v>29</v>
      </c>
      <c r="F104" s="1" t="s">
        <v>28</v>
      </c>
      <c r="G104" s="1" t="s">
        <v>40</v>
      </c>
      <c r="H104" s="1" t="s">
        <v>43</v>
      </c>
      <c r="I104" s="1" t="str">
        <f t="shared" si="2"/>
        <v>Medium</v>
      </c>
      <c r="J104" s="1" t="s">
        <v>13</v>
      </c>
      <c r="K104" s="1" t="s">
        <v>42</v>
      </c>
    </row>
    <row r="105" spans="1:11" ht="15.75" x14ac:dyDescent="0.25">
      <c r="A105" s="1">
        <v>3</v>
      </c>
      <c r="B105" s="1">
        <v>1</v>
      </c>
      <c r="C105" s="1">
        <v>4</v>
      </c>
      <c r="D105" s="1" t="s">
        <v>41</v>
      </c>
      <c r="E105" s="1" t="s">
        <v>29</v>
      </c>
      <c r="F105" s="1" t="s">
        <v>28</v>
      </c>
      <c r="G105" s="1" t="s">
        <v>40</v>
      </c>
      <c r="H105" s="1" t="s">
        <v>35</v>
      </c>
      <c r="I105" s="1" t="str">
        <f t="shared" si="2"/>
        <v>Medium</v>
      </c>
      <c r="J105" s="1" t="s">
        <v>34</v>
      </c>
      <c r="K105" s="1" t="s">
        <v>39</v>
      </c>
    </row>
    <row r="106" spans="1:11" ht="15.75" x14ac:dyDescent="0.25">
      <c r="A106" s="1">
        <v>3</v>
      </c>
      <c r="B106" s="1">
        <v>1</v>
      </c>
      <c r="C106" s="1">
        <v>4</v>
      </c>
      <c r="D106" s="1" t="s">
        <v>11</v>
      </c>
      <c r="E106" s="1" t="s">
        <v>29</v>
      </c>
      <c r="F106" s="1" t="s">
        <v>28</v>
      </c>
      <c r="G106" s="1" t="s">
        <v>27</v>
      </c>
      <c r="H106" s="1" t="s">
        <v>23</v>
      </c>
      <c r="I106" s="1" t="str">
        <f t="shared" si="2"/>
        <v>Medium</v>
      </c>
      <c r="J106" s="1" t="s">
        <v>1</v>
      </c>
      <c r="K106" s="1" t="s">
        <v>38</v>
      </c>
    </row>
    <row r="107" spans="1:11" ht="15.75" x14ac:dyDescent="0.25">
      <c r="A107" s="1">
        <v>3</v>
      </c>
      <c r="B107" s="1">
        <v>1</v>
      </c>
      <c r="C107" s="1">
        <v>4</v>
      </c>
      <c r="D107" s="1" t="s">
        <v>9</v>
      </c>
      <c r="E107" s="1" t="s">
        <v>29</v>
      </c>
      <c r="F107" s="1" t="s">
        <v>28</v>
      </c>
      <c r="G107" s="1" t="s">
        <v>27</v>
      </c>
      <c r="H107" s="1" t="s">
        <v>23</v>
      </c>
      <c r="I107" s="1" t="str">
        <f t="shared" si="2"/>
        <v>Medium</v>
      </c>
      <c r="J107" s="1" t="s">
        <v>1</v>
      </c>
      <c r="K107" s="1" t="s">
        <v>37</v>
      </c>
    </row>
    <row r="108" spans="1:11" ht="15.75" x14ac:dyDescent="0.25">
      <c r="A108" s="1">
        <v>3</v>
      </c>
      <c r="B108" s="1">
        <v>1</v>
      </c>
      <c r="C108" s="1">
        <v>4</v>
      </c>
      <c r="D108" s="1" t="s">
        <v>7</v>
      </c>
      <c r="E108" s="1" t="s">
        <v>29</v>
      </c>
      <c r="F108" s="1" t="s">
        <v>28</v>
      </c>
      <c r="G108" s="1" t="s">
        <v>27</v>
      </c>
      <c r="H108" s="1" t="s">
        <v>14</v>
      </c>
      <c r="I108" s="1" t="str">
        <f t="shared" si="2"/>
        <v>Medium</v>
      </c>
      <c r="J108" s="1" t="s">
        <v>13</v>
      </c>
      <c r="K108" s="1" t="s">
        <v>36</v>
      </c>
    </row>
    <row r="109" spans="1:11" ht="15.75" x14ac:dyDescent="0.25">
      <c r="A109" s="1">
        <v>3</v>
      </c>
      <c r="B109" s="1">
        <v>1</v>
      </c>
      <c r="C109" s="1">
        <v>4</v>
      </c>
      <c r="D109" s="1" t="s">
        <v>20</v>
      </c>
      <c r="E109" s="1" t="s">
        <v>29</v>
      </c>
      <c r="F109" s="1" t="s">
        <v>28</v>
      </c>
      <c r="G109" s="1" t="s">
        <v>27</v>
      </c>
      <c r="H109" s="1" t="s">
        <v>35</v>
      </c>
      <c r="I109" s="1" t="str">
        <f t="shared" si="2"/>
        <v>Medium</v>
      </c>
      <c r="J109" s="1" t="s">
        <v>34</v>
      </c>
      <c r="K109" s="1" t="s">
        <v>33</v>
      </c>
    </row>
    <row r="110" spans="1:11" ht="15.75" x14ac:dyDescent="0.25">
      <c r="A110" s="1">
        <v>3</v>
      </c>
      <c r="B110" s="1">
        <v>1</v>
      </c>
      <c r="C110" s="1">
        <v>4</v>
      </c>
      <c r="D110" s="1" t="s">
        <v>16</v>
      </c>
      <c r="E110" s="1" t="s">
        <v>29</v>
      </c>
      <c r="F110" s="1" t="s">
        <v>28</v>
      </c>
      <c r="G110" s="1" t="s">
        <v>27</v>
      </c>
      <c r="H110" s="1" t="s">
        <v>23</v>
      </c>
      <c r="I110" s="1" t="str">
        <f t="shared" si="2"/>
        <v>Medium</v>
      </c>
      <c r="J110" s="1" t="s">
        <v>32</v>
      </c>
      <c r="K110" s="1" t="s">
        <v>31</v>
      </c>
    </row>
    <row r="111" spans="1:11" ht="15.75" x14ac:dyDescent="0.25">
      <c r="A111" s="1">
        <v>3</v>
      </c>
      <c r="B111" s="1">
        <v>1</v>
      </c>
      <c r="C111" s="1">
        <v>4</v>
      </c>
      <c r="D111" s="1" t="s">
        <v>30</v>
      </c>
      <c r="E111" s="1" t="s">
        <v>29</v>
      </c>
      <c r="F111" s="1" t="s">
        <v>28</v>
      </c>
      <c r="G111" s="1" t="s">
        <v>27</v>
      </c>
      <c r="H111" s="1" t="s">
        <v>26</v>
      </c>
      <c r="I111" s="1" t="str">
        <f t="shared" si="2"/>
        <v>Medium</v>
      </c>
      <c r="J111" s="1" t="s">
        <v>18</v>
      </c>
      <c r="K111" s="1" t="s">
        <v>25</v>
      </c>
    </row>
    <row r="112" spans="1:11" ht="15.75" x14ac:dyDescent="0.25">
      <c r="A112" s="1">
        <v>3</v>
      </c>
      <c r="B112" s="1">
        <v>0</v>
      </c>
      <c r="C112" s="1">
        <v>4</v>
      </c>
      <c r="D112" s="1" t="s">
        <v>11</v>
      </c>
      <c r="E112" s="1" t="s">
        <v>29</v>
      </c>
      <c r="F112" s="1" t="s">
        <v>28</v>
      </c>
      <c r="G112" s="1" t="s">
        <v>165</v>
      </c>
      <c r="H112" s="1" t="s">
        <v>3</v>
      </c>
      <c r="I112" s="1" t="str">
        <f t="shared" si="2"/>
        <v>Low</v>
      </c>
      <c r="J112" s="1" t="s">
        <v>49</v>
      </c>
      <c r="K112" s="1" t="s">
        <v>166</v>
      </c>
    </row>
    <row r="113" spans="1:11" ht="15.75" x14ac:dyDescent="0.25">
      <c r="A113" s="1">
        <v>3</v>
      </c>
      <c r="B113" s="1">
        <v>0</v>
      </c>
      <c r="C113" s="1">
        <v>4</v>
      </c>
      <c r="D113" s="1" t="s">
        <v>9</v>
      </c>
      <c r="E113" s="1" t="s">
        <v>29</v>
      </c>
      <c r="F113" s="1" t="s">
        <v>28</v>
      </c>
      <c r="G113" s="1" t="s">
        <v>165</v>
      </c>
      <c r="H113" s="1" t="s">
        <v>3</v>
      </c>
      <c r="I113" s="1" t="str">
        <f t="shared" si="2"/>
        <v>Low</v>
      </c>
      <c r="J113" s="1" t="s">
        <v>49</v>
      </c>
      <c r="K113" s="1" t="s">
        <v>167</v>
      </c>
    </row>
    <row r="114" spans="1:11" ht="15.75" x14ac:dyDescent="0.25">
      <c r="A114" s="1">
        <v>3</v>
      </c>
      <c r="B114" s="1">
        <v>0</v>
      </c>
      <c r="C114" s="1">
        <v>4</v>
      </c>
      <c r="D114" s="1" t="s">
        <v>7</v>
      </c>
      <c r="E114" s="1" t="s">
        <v>29</v>
      </c>
      <c r="F114" s="1" t="s">
        <v>28</v>
      </c>
      <c r="G114" s="1" t="s">
        <v>165</v>
      </c>
      <c r="H114" s="1" t="s">
        <v>3</v>
      </c>
      <c r="I114" s="1" t="str">
        <f t="shared" si="2"/>
        <v>Medium</v>
      </c>
      <c r="J114" s="1" t="s">
        <v>1</v>
      </c>
      <c r="K114" s="1" t="s">
        <v>168</v>
      </c>
    </row>
    <row r="115" spans="1:11" ht="15.75" x14ac:dyDescent="0.25">
      <c r="A115" s="1">
        <v>3</v>
      </c>
      <c r="B115" s="1">
        <v>0</v>
      </c>
      <c r="C115" s="1">
        <v>4</v>
      </c>
      <c r="D115" s="1" t="s">
        <v>20</v>
      </c>
      <c r="E115" s="1" t="s">
        <v>29</v>
      </c>
      <c r="F115" s="1" t="s">
        <v>28</v>
      </c>
      <c r="G115" s="1" t="s">
        <v>165</v>
      </c>
      <c r="H115" s="1" t="s">
        <v>3</v>
      </c>
      <c r="I115" s="1" t="str">
        <f t="shared" si="2"/>
        <v>High</v>
      </c>
      <c r="J115" s="1" t="s">
        <v>56</v>
      </c>
      <c r="K115" s="1" t="s">
        <v>169</v>
      </c>
    </row>
    <row r="116" spans="1:11" ht="15.75" x14ac:dyDescent="0.25">
      <c r="A116" s="1">
        <v>3</v>
      </c>
      <c r="B116" s="1">
        <v>1</v>
      </c>
      <c r="C116" s="1">
        <v>4</v>
      </c>
      <c r="D116" s="1" t="s">
        <v>11</v>
      </c>
      <c r="E116" s="1" t="s">
        <v>29</v>
      </c>
      <c r="F116" s="1" t="s">
        <v>28</v>
      </c>
      <c r="G116" s="1" t="s">
        <v>170</v>
      </c>
      <c r="H116" s="1" t="s">
        <v>23</v>
      </c>
      <c r="I116" s="1" t="str">
        <f t="shared" si="2"/>
        <v>Medium</v>
      </c>
      <c r="J116" s="1" t="s">
        <v>1</v>
      </c>
      <c r="K116" s="1" t="s">
        <v>171</v>
      </c>
    </row>
    <row r="117" spans="1:11" ht="15.75" x14ac:dyDescent="0.25">
      <c r="A117" s="1">
        <v>3</v>
      </c>
      <c r="B117" s="1">
        <v>1</v>
      </c>
      <c r="C117" s="1">
        <v>4</v>
      </c>
      <c r="D117" s="1" t="s">
        <v>9</v>
      </c>
      <c r="E117" s="1" t="s">
        <v>29</v>
      </c>
      <c r="F117" s="1" t="s">
        <v>28</v>
      </c>
      <c r="G117" s="1" t="s">
        <v>170</v>
      </c>
      <c r="H117" s="1" t="s">
        <v>3</v>
      </c>
      <c r="I117" s="1" t="str">
        <f t="shared" si="2"/>
        <v>Medium</v>
      </c>
      <c r="J117" s="1" t="s">
        <v>1</v>
      </c>
      <c r="K117" s="1" t="s">
        <v>172</v>
      </c>
    </row>
    <row r="118" spans="1:11" ht="15.75" x14ac:dyDescent="0.25">
      <c r="A118" s="1">
        <v>3</v>
      </c>
      <c r="B118" s="1">
        <v>1</v>
      </c>
      <c r="C118" s="1">
        <v>4</v>
      </c>
      <c r="D118" s="1" t="s">
        <v>7</v>
      </c>
      <c r="E118" s="1" t="s">
        <v>29</v>
      </c>
      <c r="F118" s="1" t="s">
        <v>28</v>
      </c>
      <c r="G118" s="1" t="s">
        <v>170</v>
      </c>
      <c r="H118" s="1" t="s">
        <v>35</v>
      </c>
      <c r="I118" s="1" t="str">
        <f t="shared" si="2"/>
        <v>Medium</v>
      </c>
      <c r="J118" s="1" t="s">
        <v>34</v>
      </c>
      <c r="K118" s="1" t="s">
        <v>173</v>
      </c>
    </row>
    <row r="119" spans="1:11" ht="15.75" x14ac:dyDescent="0.25">
      <c r="A119" s="1">
        <v>3</v>
      </c>
      <c r="B119" s="1">
        <v>1</v>
      </c>
      <c r="C119" s="1">
        <v>4</v>
      </c>
      <c r="D119" s="1" t="s">
        <v>20</v>
      </c>
      <c r="E119" s="1" t="s">
        <v>29</v>
      </c>
      <c r="F119" s="1" t="s">
        <v>28</v>
      </c>
      <c r="G119" s="1" t="s">
        <v>170</v>
      </c>
      <c r="H119" s="1" t="s">
        <v>14</v>
      </c>
      <c r="I119" s="1" t="str">
        <f t="shared" si="2"/>
        <v>Medium</v>
      </c>
      <c r="J119" s="1" t="s">
        <v>13</v>
      </c>
      <c r="K119" s="1" t="s">
        <v>250</v>
      </c>
    </row>
    <row r="120" spans="1:11" ht="15.75" x14ac:dyDescent="0.25">
      <c r="A120" s="1">
        <v>3</v>
      </c>
      <c r="B120" s="1">
        <v>1</v>
      </c>
      <c r="C120" s="1">
        <v>4</v>
      </c>
      <c r="D120" s="1" t="s">
        <v>16</v>
      </c>
      <c r="E120" s="1" t="s">
        <v>29</v>
      </c>
      <c r="F120" s="1" t="s">
        <v>28</v>
      </c>
      <c r="G120" s="1" t="s">
        <v>170</v>
      </c>
      <c r="H120" s="1" t="s">
        <v>19</v>
      </c>
      <c r="I120" s="1" t="str">
        <f t="shared" si="2"/>
        <v>Medium</v>
      </c>
      <c r="J120" s="1" t="s">
        <v>18</v>
      </c>
      <c r="K120" s="1" t="s">
        <v>17</v>
      </c>
    </row>
    <row r="121" spans="1:11" ht="15.75" x14ac:dyDescent="0.25">
      <c r="A121" s="1">
        <v>3</v>
      </c>
      <c r="B121" s="1">
        <v>1</v>
      </c>
      <c r="C121" s="1">
        <v>4</v>
      </c>
      <c r="D121" s="1" t="s">
        <v>30</v>
      </c>
      <c r="E121" s="1" t="s">
        <v>29</v>
      </c>
      <c r="F121" s="1" t="s">
        <v>28</v>
      </c>
      <c r="G121" s="1" t="s">
        <v>170</v>
      </c>
      <c r="H121" s="1" t="s">
        <v>141</v>
      </c>
      <c r="I121" s="1" t="str">
        <f t="shared" si="2"/>
        <v>Medium</v>
      </c>
      <c r="J121" s="1" t="s">
        <v>18</v>
      </c>
      <c r="K121" s="1" t="s">
        <v>251</v>
      </c>
    </row>
    <row r="122" spans="1:11" ht="15.75" x14ac:dyDescent="0.25">
      <c r="A122" s="1">
        <v>3</v>
      </c>
      <c r="B122" s="1">
        <v>1</v>
      </c>
      <c r="C122" s="1">
        <v>4</v>
      </c>
      <c r="D122" s="1" t="s">
        <v>41</v>
      </c>
      <c r="E122" s="1" t="s">
        <v>29</v>
      </c>
      <c r="F122" s="1" t="s">
        <v>28</v>
      </c>
      <c r="G122" s="1" t="s">
        <v>170</v>
      </c>
      <c r="H122" s="1" t="s">
        <v>23</v>
      </c>
      <c r="I122" s="1" t="str">
        <f t="shared" si="2"/>
        <v>Medium</v>
      </c>
      <c r="J122" s="1" t="s">
        <v>34</v>
      </c>
      <c r="K122" s="1" t="s">
        <v>252</v>
      </c>
    </row>
    <row r="123" spans="1:11" ht="15.75" x14ac:dyDescent="0.25">
      <c r="A123" s="3">
        <v>3</v>
      </c>
      <c r="B123" s="3">
        <v>0</v>
      </c>
      <c r="C123" s="1">
        <v>3</v>
      </c>
      <c r="D123" s="1" t="s">
        <v>11</v>
      </c>
      <c r="E123" s="1" t="s">
        <v>29</v>
      </c>
      <c r="F123" s="1" t="s">
        <v>28</v>
      </c>
      <c r="G123" s="1" t="s">
        <v>253</v>
      </c>
      <c r="H123" s="1" t="s">
        <v>3</v>
      </c>
      <c r="I123" s="1" t="str">
        <f t="shared" si="2"/>
        <v>Medium</v>
      </c>
      <c r="J123" s="1" t="s">
        <v>1</v>
      </c>
      <c r="K123" s="1" t="s">
        <v>254</v>
      </c>
    </row>
    <row r="124" spans="1:11" ht="15.75" x14ac:dyDescent="0.25">
      <c r="A124" s="3">
        <v>3</v>
      </c>
      <c r="B124" s="3">
        <v>0</v>
      </c>
      <c r="C124" s="1">
        <v>3</v>
      </c>
      <c r="D124" s="1" t="s">
        <v>9</v>
      </c>
      <c r="E124" s="1" t="s">
        <v>29</v>
      </c>
      <c r="F124" s="1" t="s">
        <v>28</v>
      </c>
      <c r="G124" s="1" t="s">
        <v>253</v>
      </c>
      <c r="H124" s="1" t="s">
        <v>3</v>
      </c>
      <c r="I124" s="1" t="str">
        <f t="shared" si="2"/>
        <v>Medium</v>
      </c>
      <c r="J124" s="1" t="s">
        <v>1</v>
      </c>
      <c r="K124" s="1" t="s">
        <v>255</v>
      </c>
    </row>
    <row r="125" spans="1:11" ht="15.75" x14ac:dyDescent="0.25">
      <c r="A125" s="3">
        <v>3</v>
      </c>
      <c r="B125" s="3">
        <v>0</v>
      </c>
      <c r="C125" s="1">
        <v>3</v>
      </c>
      <c r="D125" s="1" t="s">
        <v>7</v>
      </c>
      <c r="E125" s="1" t="s">
        <v>29</v>
      </c>
      <c r="F125" s="1" t="s">
        <v>28</v>
      </c>
      <c r="G125" s="1" t="s">
        <v>253</v>
      </c>
      <c r="H125" s="1" t="s">
        <v>3</v>
      </c>
      <c r="I125" s="1" t="str">
        <f t="shared" si="2"/>
        <v>Medium</v>
      </c>
      <c r="J125" s="1" t="s">
        <v>1</v>
      </c>
      <c r="K125" s="1" t="s">
        <v>256</v>
      </c>
    </row>
    <row r="126" spans="1:11" ht="15.75" x14ac:dyDescent="0.25">
      <c r="A126" s="3">
        <v>2</v>
      </c>
      <c r="B126" s="3">
        <v>1</v>
      </c>
      <c r="C126" s="1">
        <v>3</v>
      </c>
      <c r="D126" s="1" t="s">
        <v>11</v>
      </c>
      <c r="E126" s="1" t="s">
        <v>29</v>
      </c>
      <c r="F126" s="1" t="s">
        <v>28</v>
      </c>
      <c r="G126" s="1" t="s">
        <v>257</v>
      </c>
      <c r="H126" s="1" t="s">
        <v>23</v>
      </c>
      <c r="I126" s="1" t="str">
        <f t="shared" si="2"/>
        <v>Low</v>
      </c>
      <c r="J126" s="1" t="s">
        <v>49</v>
      </c>
      <c r="K126" s="1" t="s">
        <v>258</v>
      </c>
    </row>
    <row r="127" spans="1:11" ht="15.75" x14ac:dyDescent="0.25">
      <c r="A127" s="3">
        <v>2</v>
      </c>
      <c r="B127" s="3">
        <v>1</v>
      </c>
      <c r="C127" s="1">
        <v>3</v>
      </c>
      <c r="D127" s="1" t="s">
        <v>9</v>
      </c>
      <c r="E127" s="1" t="s">
        <v>29</v>
      </c>
      <c r="F127" s="1" t="s">
        <v>28</v>
      </c>
      <c r="G127" s="1" t="s">
        <v>257</v>
      </c>
      <c r="H127" s="1" t="s">
        <v>3</v>
      </c>
      <c r="I127" s="1" t="str">
        <f t="shared" si="2"/>
        <v>Medium</v>
      </c>
      <c r="J127" s="1" t="s">
        <v>1</v>
      </c>
      <c r="K127" s="1" t="s">
        <v>259</v>
      </c>
    </row>
    <row r="128" spans="1:11" ht="15.75" x14ac:dyDescent="0.25">
      <c r="A128" s="3">
        <v>2</v>
      </c>
      <c r="B128" s="3">
        <v>1</v>
      </c>
      <c r="C128" s="1">
        <v>3</v>
      </c>
      <c r="D128" s="1" t="s">
        <v>7</v>
      </c>
      <c r="E128" s="1" t="s">
        <v>29</v>
      </c>
      <c r="F128" s="1" t="s">
        <v>28</v>
      </c>
      <c r="G128" s="1" t="s">
        <v>257</v>
      </c>
      <c r="H128" s="1" t="s">
        <v>23</v>
      </c>
      <c r="I128" s="1" t="str">
        <f t="shared" si="2"/>
        <v>Medium</v>
      </c>
      <c r="J128" s="1" t="s">
        <v>1</v>
      </c>
      <c r="K128" s="1" t="s">
        <v>260</v>
      </c>
    </row>
    <row r="129" spans="1:11" ht="15.75" x14ac:dyDescent="0.25">
      <c r="A129" s="3">
        <v>2</v>
      </c>
      <c r="B129" s="3">
        <v>1</v>
      </c>
      <c r="C129" s="1">
        <v>3</v>
      </c>
      <c r="D129" s="1" t="s">
        <v>20</v>
      </c>
      <c r="E129" s="1" t="s">
        <v>29</v>
      </c>
      <c r="F129" s="1" t="s">
        <v>28</v>
      </c>
      <c r="G129" s="1" t="s">
        <v>257</v>
      </c>
      <c r="H129" s="1" t="s">
        <v>14</v>
      </c>
      <c r="I129" s="1" t="str">
        <f t="shared" si="2"/>
        <v>Medium</v>
      </c>
      <c r="J129" s="1" t="s">
        <v>32</v>
      </c>
      <c r="K129" s="1" t="s">
        <v>214</v>
      </c>
    </row>
    <row r="130" spans="1:11" ht="15.75" x14ac:dyDescent="0.25">
      <c r="A130" s="3">
        <v>2</v>
      </c>
      <c r="B130" s="3">
        <v>1</v>
      </c>
      <c r="C130" s="1">
        <v>3</v>
      </c>
      <c r="D130" s="1" t="s">
        <v>16</v>
      </c>
      <c r="E130" s="1" t="s">
        <v>29</v>
      </c>
      <c r="F130" s="1" t="s">
        <v>28</v>
      </c>
      <c r="G130" s="1" t="s">
        <v>257</v>
      </c>
      <c r="H130" s="1" t="s">
        <v>19</v>
      </c>
      <c r="I130" s="1" t="str">
        <f t="shared" si="2"/>
        <v>Medium</v>
      </c>
      <c r="J130" s="1" t="s">
        <v>18</v>
      </c>
      <c r="K130" s="1" t="s">
        <v>215</v>
      </c>
    </row>
    <row r="131" spans="1:11" ht="15.75" x14ac:dyDescent="0.25">
      <c r="A131" s="3">
        <v>2</v>
      </c>
      <c r="B131" s="3">
        <v>1</v>
      </c>
      <c r="C131" s="1">
        <v>3</v>
      </c>
      <c r="D131" s="1" t="s">
        <v>30</v>
      </c>
      <c r="E131" s="1" t="s">
        <v>29</v>
      </c>
      <c r="F131" s="1" t="s">
        <v>28</v>
      </c>
      <c r="G131" s="1" t="s">
        <v>257</v>
      </c>
      <c r="H131" s="1" t="s">
        <v>43</v>
      </c>
      <c r="I131" s="1" t="str">
        <f t="shared" si="2"/>
        <v>Medium</v>
      </c>
      <c r="J131" s="1" t="s">
        <v>18</v>
      </c>
      <c r="K131" s="1" t="s">
        <v>216</v>
      </c>
    </row>
    <row r="132" spans="1:11" ht="15.75" x14ac:dyDescent="0.25">
      <c r="A132" s="3">
        <v>2</v>
      </c>
      <c r="B132" s="3">
        <v>1</v>
      </c>
      <c r="C132" s="1">
        <v>3</v>
      </c>
      <c r="D132" s="1" t="s">
        <v>41</v>
      </c>
      <c r="E132" s="1" t="s">
        <v>29</v>
      </c>
      <c r="F132" s="1" t="s">
        <v>28</v>
      </c>
      <c r="G132" s="1" t="s">
        <v>257</v>
      </c>
      <c r="H132" s="1" t="s">
        <v>35</v>
      </c>
      <c r="I132" s="1" t="str">
        <f t="shared" si="2"/>
        <v>Medium</v>
      </c>
      <c r="J132" s="1" t="s">
        <v>34</v>
      </c>
      <c r="K132" s="1" t="s">
        <v>217</v>
      </c>
    </row>
    <row r="133" spans="1:11" ht="15.75" x14ac:dyDescent="0.25">
      <c r="A133" s="3">
        <v>2</v>
      </c>
      <c r="B133" s="3">
        <v>1</v>
      </c>
      <c r="C133" s="1">
        <v>3</v>
      </c>
      <c r="D133" s="1" t="s">
        <v>11</v>
      </c>
      <c r="E133" s="1" t="s">
        <v>29</v>
      </c>
      <c r="F133" s="1" t="s">
        <v>28</v>
      </c>
      <c r="G133" s="1" t="s">
        <v>261</v>
      </c>
      <c r="H133" s="1" t="s">
        <v>14</v>
      </c>
      <c r="I133" s="1" t="str">
        <f t="shared" si="2"/>
        <v>Low</v>
      </c>
      <c r="J133" s="1" t="s">
        <v>49</v>
      </c>
      <c r="K133" s="1" t="s">
        <v>262</v>
      </c>
    </row>
    <row r="134" spans="1:11" ht="15.75" x14ac:dyDescent="0.25">
      <c r="A134" s="3">
        <v>2</v>
      </c>
      <c r="B134" s="3">
        <v>1</v>
      </c>
      <c r="C134" s="1">
        <v>3</v>
      </c>
      <c r="D134" s="1" t="s">
        <v>9</v>
      </c>
      <c r="E134" s="1" t="s">
        <v>29</v>
      </c>
      <c r="F134" s="1" t="s">
        <v>28</v>
      </c>
      <c r="G134" s="1" t="s">
        <v>261</v>
      </c>
      <c r="H134" s="1" t="s">
        <v>35</v>
      </c>
      <c r="I134" s="1" t="str">
        <f t="shared" si="2"/>
        <v>Medium</v>
      </c>
      <c r="J134" s="1" t="s">
        <v>1</v>
      </c>
      <c r="K134" s="1" t="s">
        <v>263</v>
      </c>
    </row>
    <row r="135" spans="1:11" ht="15.75" x14ac:dyDescent="0.25">
      <c r="A135" s="3">
        <v>2</v>
      </c>
      <c r="B135" s="3">
        <v>1</v>
      </c>
      <c r="C135" s="1">
        <v>3</v>
      </c>
      <c r="D135" s="1" t="s">
        <v>7</v>
      </c>
      <c r="E135" s="1" t="s">
        <v>29</v>
      </c>
      <c r="F135" s="1" t="s">
        <v>28</v>
      </c>
      <c r="G135" s="1" t="s">
        <v>261</v>
      </c>
      <c r="H135" s="1" t="s">
        <v>14</v>
      </c>
      <c r="I135" s="1" t="str">
        <f t="shared" si="2"/>
        <v>High</v>
      </c>
      <c r="J135" s="1" t="s">
        <v>71</v>
      </c>
      <c r="K135" s="1" t="s">
        <v>264</v>
      </c>
    </row>
    <row r="136" spans="1:11" ht="15.75" x14ac:dyDescent="0.25">
      <c r="A136" s="3">
        <v>2</v>
      </c>
      <c r="B136" s="3">
        <v>1</v>
      </c>
      <c r="C136" s="1">
        <v>3</v>
      </c>
      <c r="D136" s="1" t="s">
        <v>20</v>
      </c>
      <c r="E136" s="1" t="s">
        <v>29</v>
      </c>
      <c r="F136" s="1" t="s">
        <v>28</v>
      </c>
      <c r="G136" s="1" t="s">
        <v>261</v>
      </c>
      <c r="H136" s="1" t="s">
        <v>19</v>
      </c>
      <c r="I136" s="1" t="str">
        <f t="shared" si="2"/>
        <v>Low</v>
      </c>
      <c r="J136" s="1" t="s">
        <v>265</v>
      </c>
      <c r="K136" s="1" t="s">
        <v>266</v>
      </c>
    </row>
    <row r="137" spans="1:11" ht="15.75" x14ac:dyDescent="0.25">
      <c r="A137" s="3">
        <v>2</v>
      </c>
      <c r="B137" s="3">
        <v>1</v>
      </c>
      <c r="C137" s="1">
        <v>3</v>
      </c>
      <c r="D137" s="1" t="s">
        <v>16</v>
      </c>
      <c r="E137" s="1" t="s">
        <v>29</v>
      </c>
      <c r="F137" s="1" t="s">
        <v>28</v>
      </c>
      <c r="G137" s="1" t="s">
        <v>261</v>
      </c>
      <c r="H137" s="1" t="s">
        <v>3</v>
      </c>
      <c r="I137" s="1" t="str">
        <f t="shared" si="2"/>
        <v>Medium</v>
      </c>
      <c r="J137" s="1" t="s">
        <v>13</v>
      </c>
      <c r="K137" s="1" t="s">
        <v>267</v>
      </c>
    </row>
    <row r="138" spans="1:11" ht="15.75" x14ac:dyDescent="0.25">
      <c r="A138" s="3">
        <v>2</v>
      </c>
      <c r="B138" s="3">
        <v>0</v>
      </c>
      <c r="C138" s="1">
        <v>3</v>
      </c>
      <c r="D138" s="1" t="s">
        <v>11</v>
      </c>
      <c r="E138" s="1" t="s">
        <v>29</v>
      </c>
      <c r="F138" s="1" t="s">
        <v>28</v>
      </c>
      <c r="G138" s="1" t="s">
        <v>268</v>
      </c>
      <c r="H138" s="1" t="s">
        <v>23</v>
      </c>
      <c r="I138" s="1" t="str">
        <f t="shared" si="2"/>
        <v>Low</v>
      </c>
      <c r="J138" s="1" t="s">
        <v>49</v>
      </c>
      <c r="K138" s="1" t="s">
        <v>269</v>
      </c>
    </row>
    <row r="139" spans="1:11" ht="15.75" x14ac:dyDescent="0.25">
      <c r="A139" s="3">
        <v>2</v>
      </c>
      <c r="B139" s="3">
        <v>0</v>
      </c>
      <c r="C139" s="1">
        <v>3</v>
      </c>
      <c r="D139" s="1" t="s">
        <v>9</v>
      </c>
      <c r="E139" s="1" t="s">
        <v>29</v>
      </c>
      <c r="F139" s="1" t="s">
        <v>28</v>
      </c>
      <c r="G139" s="1" t="s">
        <v>268</v>
      </c>
      <c r="H139" s="1" t="s">
        <v>23</v>
      </c>
      <c r="I139" s="1" t="str">
        <f t="shared" si="2"/>
        <v>Medium</v>
      </c>
      <c r="J139" s="1" t="s">
        <v>34</v>
      </c>
      <c r="K139" s="1" t="s">
        <v>270</v>
      </c>
    </row>
    <row r="140" spans="1:11" ht="15.75" x14ac:dyDescent="0.25">
      <c r="A140" s="3">
        <v>2</v>
      </c>
      <c r="B140" s="3">
        <v>0</v>
      </c>
      <c r="C140" s="1">
        <v>3</v>
      </c>
      <c r="D140" s="1" t="s">
        <v>11</v>
      </c>
      <c r="E140" s="1" t="s">
        <v>29</v>
      </c>
      <c r="F140" s="1" t="s">
        <v>28</v>
      </c>
      <c r="G140" s="1" t="s">
        <v>271</v>
      </c>
      <c r="H140" s="1" t="s">
        <v>23</v>
      </c>
      <c r="I140" s="1" t="str">
        <f t="shared" si="2"/>
        <v>Low</v>
      </c>
      <c r="J140" s="1" t="s">
        <v>49</v>
      </c>
      <c r="K140" s="1" t="s">
        <v>272</v>
      </c>
    </row>
    <row r="141" spans="1:11" ht="15.75" x14ac:dyDescent="0.25">
      <c r="A141" s="3">
        <v>2</v>
      </c>
      <c r="B141" s="3">
        <v>0</v>
      </c>
      <c r="C141" s="1">
        <v>3</v>
      </c>
      <c r="D141" s="1" t="s">
        <v>9</v>
      </c>
      <c r="E141" s="1" t="s">
        <v>29</v>
      </c>
      <c r="F141" s="1" t="s">
        <v>28</v>
      </c>
      <c r="G141" s="1" t="s">
        <v>271</v>
      </c>
      <c r="H141" s="1" t="s">
        <v>3</v>
      </c>
      <c r="I141" s="1" t="str">
        <f t="shared" si="2"/>
        <v>Medium</v>
      </c>
      <c r="J141" s="1" t="s">
        <v>1</v>
      </c>
      <c r="K141" s="1" t="s">
        <v>273</v>
      </c>
    </row>
    <row r="142" spans="1:11" ht="15.75" x14ac:dyDescent="0.25">
      <c r="A142" s="3">
        <v>2</v>
      </c>
      <c r="B142" s="3">
        <v>1</v>
      </c>
      <c r="C142" s="1">
        <v>3</v>
      </c>
      <c r="D142" s="1" t="s">
        <v>7</v>
      </c>
      <c r="E142" s="1" t="s">
        <v>29</v>
      </c>
      <c r="F142" s="1" t="s">
        <v>28</v>
      </c>
      <c r="G142" s="1" t="s">
        <v>271</v>
      </c>
      <c r="H142" s="1" t="s">
        <v>35</v>
      </c>
      <c r="I142" s="1" t="str">
        <f t="shared" si="2"/>
        <v>Medium</v>
      </c>
      <c r="J142" s="1" t="s">
        <v>34</v>
      </c>
      <c r="K142" s="1" t="s">
        <v>274</v>
      </c>
    </row>
    <row r="143" spans="1:11" ht="15.75" x14ac:dyDescent="0.25">
      <c r="A143" s="3">
        <v>1</v>
      </c>
      <c r="B143" s="3">
        <v>1</v>
      </c>
      <c r="C143" s="1">
        <v>3</v>
      </c>
      <c r="D143" s="1" t="s">
        <v>11</v>
      </c>
      <c r="E143" s="1" t="s">
        <v>29</v>
      </c>
      <c r="F143" s="1" t="s">
        <v>28</v>
      </c>
      <c r="G143" s="1" t="s">
        <v>275</v>
      </c>
      <c r="H143" s="1" t="s">
        <v>43</v>
      </c>
      <c r="I143" s="1" t="str">
        <f t="shared" si="2"/>
        <v>Low</v>
      </c>
      <c r="J143" s="1" t="s">
        <v>49</v>
      </c>
      <c r="K143" s="1" t="s">
        <v>276</v>
      </c>
    </row>
    <row r="144" spans="1:11" ht="15.75" x14ac:dyDescent="0.25">
      <c r="A144" s="3">
        <v>1</v>
      </c>
      <c r="B144" s="3">
        <v>1</v>
      </c>
      <c r="C144" s="1">
        <v>3</v>
      </c>
      <c r="D144" s="1" t="s">
        <v>9</v>
      </c>
      <c r="E144" s="1" t="s">
        <v>29</v>
      </c>
      <c r="F144" s="1" t="s">
        <v>28</v>
      </c>
      <c r="G144" s="1" t="s">
        <v>275</v>
      </c>
      <c r="H144" s="1" t="s">
        <v>43</v>
      </c>
      <c r="I144" s="1" t="str">
        <f t="shared" si="2"/>
        <v>Low</v>
      </c>
      <c r="J144" s="1" t="s">
        <v>49</v>
      </c>
      <c r="K144" s="1" t="s">
        <v>277</v>
      </c>
    </row>
    <row r="145" spans="1:11" ht="15.75" x14ac:dyDescent="0.25">
      <c r="A145" s="3">
        <v>1</v>
      </c>
      <c r="B145" s="3">
        <v>1</v>
      </c>
      <c r="C145" s="1">
        <v>3</v>
      </c>
      <c r="D145" s="1" t="s">
        <v>7</v>
      </c>
      <c r="E145" s="1" t="s">
        <v>29</v>
      </c>
      <c r="F145" s="1" t="s">
        <v>28</v>
      </c>
      <c r="G145" s="1" t="s">
        <v>275</v>
      </c>
      <c r="H145" s="1" t="s">
        <v>89</v>
      </c>
      <c r="I145" s="1" t="str">
        <f t="shared" si="2"/>
        <v>Low</v>
      </c>
      <c r="J145" s="1" t="s">
        <v>265</v>
      </c>
      <c r="K145" s="1" t="s">
        <v>278</v>
      </c>
    </row>
    <row r="146" spans="1:11" ht="15.75" x14ac:dyDescent="0.25">
      <c r="A146" s="3">
        <v>2</v>
      </c>
      <c r="B146" s="3">
        <v>0</v>
      </c>
      <c r="C146" s="1">
        <v>3</v>
      </c>
      <c r="D146" s="1" t="s">
        <v>11</v>
      </c>
      <c r="E146" s="1" t="s">
        <v>29</v>
      </c>
      <c r="F146" s="1" t="s">
        <v>28</v>
      </c>
      <c r="G146" s="1" t="s">
        <v>279</v>
      </c>
      <c r="H146" s="1" t="s">
        <v>23</v>
      </c>
      <c r="I146" s="1" t="str">
        <f t="shared" si="2"/>
        <v>Low</v>
      </c>
      <c r="J146" s="1" t="s">
        <v>49</v>
      </c>
      <c r="K146" s="1" t="s">
        <v>280</v>
      </c>
    </row>
    <row r="147" spans="1:11" ht="15.75" x14ac:dyDescent="0.25">
      <c r="A147" s="3">
        <v>2</v>
      </c>
      <c r="B147" s="3">
        <v>0</v>
      </c>
      <c r="C147" s="1">
        <v>3</v>
      </c>
      <c r="D147" s="1" t="s">
        <v>9</v>
      </c>
      <c r="E147" s="1" t="s">
        <v>29</v>
      </c>
      <c r="F147" s="1" t="s">
        <v>28</v>
      </c>
      <c r="G147" s="1" t="s">
        <v>279</v>
      </c>
      <c r="H147" s="1" t="s">
        <v>23</v>
      </c>
      <c r="I147" s="1" t="str">
        <f t="shared" si="2"/>
        <v>Low</v>
      </c>
      <c r="J147" s="1" t="s">
        <v>49</v>
      </c>
      <c r="K147" s="1" t="s">
        <v>281</v>
      </c>
    </row>
    <row r="148" spans="1:11" ht="15.75" x14ac:dyDescent="0.25">
      <c r="A148" s="3">
        <v>2</v>
      </c>
      <c r="B148" s="3">
        <v>0</v>
      </c>
      <c r="C148" s="1">
        <v>3</v>
      </c>
      <c r="D148" s="1" t="s">
        <v>7</v>
      </c>
      <c r="E148" s="1" t="s">
        <v>29</v>
      </c>
      <c r="F148" s="1" t="s">
        <v>28</v>
      </c>
      <c r="G148" s="1" t="s">
        <v>279</v>
      </c>
      <c r="H148" s="1" t="s">
        <v>23</v>
      </c>
      <c r="I148" s="1" t="str">
        <f t="shared" si="2"/>
        <v>Low</v>
      </c>
      <c r="J148" s="1" t="s">
        <v>49</v>
      </c>
      <c r="K148" s="1" t="s">
        <v>282</v>
      </c>
    </row>
    <row r="149" spans="1:11" ht="15.75" x14ac:dyDescent="0.25">
      <c r="A149" s="1">
        <v>2</v>
      </c>
      <c r="B149" s="1">
        <v>1</v>
      </c>
      <c r="C149" s="1">
        <v>2</v>
      </c>
      <c r="D149" s="1" t="s">
        <v>11</v>
      </c>
      <c r="E149" s="1" t="s">
        <v>6</v>
      </c>
      <c r="F149" s="1" t="s">
        <v>5</v>
      </c>
      <c r="G149" s="1" t="s">
        <v>15</v>
      </c>
      <c r="H149" s="1" t="s">
        <v>23</v>
      </c>
      <c r="I149" s="1" t="str">
        <f t="shared" si="2"/>
        <v>Medium</v>
      </c>
      <c r="J149" s="1" t="s">
        <v>1</v>
      </c>
      <c r="K149" s="1" t="s">
        <v>24</v>
      </c>
    </row>
    <row r="150" spans="1:11" ht="15.75" x14ac:dyDescent="0.25">
      <c r="A150" s="1">
        <v>2</v>
      </c>
      <c r="B150" s="1">
        <v>1</v>
      </c>
      <c r="C150" s="1">
        <v>2</v>
      </c>
      <c r="D150" s="1" t="s">
        <v>9</v>
      </c>
      <c r="E150" s="1" t="s">
        <v>6</v>
      </c>
      <c r="F150" s="1" t="s">
        <v>5</v>
      </c>
      <c r="G150" s="1" t="s">
        <v>15</v>
      </c>
      <c r="H150" s="1" t="s">
        <v>23</v>
      </c>
      <c r="I150" s="1" t="str">
        <f t="shared" si="2"/>
        <v>Medium</v>
      </c>
      <c r="J150" s="1" t="s">
        <v>1</v>
      </c>
      <c r="K150" s="1" t="s">
        <v>22</v>
      </c>
    </row>
    <row r="151" spans="1:11" ht="15.75" x14ac:dyDescent="0.25">
      <c r="A151" s="1">
        <v>2</v>
      </c>
      <c r="B151" s="1">
        <v>1</v>
      </c>
      <c r="C151" s="1">
        <v>2</v>
      </c>
      <c r="D151" s="1" t="s">
        <v>7</v>
      </c>
      <c r="E151" s="1" t="s">
        <v>6</v>
      </c>
      <c r="F151" s="1" t="s">
        <v>5</v>
      </c>
      <c r="G151" s="1" t="s">
        <v>15</v>
      </c>
      <c r="H151" s="1" t="s">
        <v>14</v>
      </c>
      <c r="I151" s="1" t="str">
        <f t="shared" si="2"/>
        <v>Medium</v>
      </c>
      <c r="J151" s="1" t="s">
        <v>13</v>
      </c>
      <c r="K151" s="1" t="s">
        <v>21</v>
      </c>
    </row>
    <row r="152" spans="1:11" ht="15.75" x14ac:dyDescent="0.25">
      <c r="A152" s="1">
        <v>2</v>
      </c>
      <c r="B152" s="1">
        <v>1</v>
      </c>
      <c r="C152" s="1">
        <v>2</v>
      </c>
      <c r="D152" s="1" t="s">
        <v>20</v>
      </c>
      <c r="E152" s="1" t="s">
        <v>6</v>
      </c>
      <c r="F152" s="1" t="s">
        <v>5</v>
      </c>
      <c r="G152" s="1" t="s">
        <v>15</v>
      </c>
      <c r="H152" s="1" t="s">
        <v>19</v>
      </c>
      <c r="I152" s="1" t="str">
        <f t="shared" si="2"/>
        <v>Medium</v>
      </c>
      <c r="J152" s="1" t="s">
        <v>18</v>
      </c>
      <c r="K152" s="1" t="s">
        <v>17</v>
      </c>
    </row>
    <row r="153" spans="1:11" ht="15.75" x14ac:dyDescent="0.25">
      <c r="A153" s="1">
        <v>2</v>
      </c>
      <c r="B153" s="1">
        <v>1</v>
      </c>
      <c r="C153" s="1">
        <v>2</v>
      </c>
      <c r="D153" s="1" t="s">
        <v>16</v>
      </c>
      <c r="E153" s="1" t="s">
        <v>6</v>
      </c>
      <c r="F153" s="1" t="s">
        <v>5</v>
      </c>
      <c r="G153" s="1" t="s">
        <v>15</v>
      </c>
      <c r="H153" s="1" t="s">
        <v>14</v>
      </c>
      <c r="I153" s="1" t="str">
        <f t="shared" ref="I153:I173" si="3">IF(OR(RIGHT(J153,1)="1",RIGHT(J153,1)="2"),"Low",
IF(OR(RIGHT(J153,1)="3",RIGHT(J153,1)="4"),"Medium",
IF(OR(RIGHT(J153,1)="5",RIGHT(J153,1)="6"),"High","")))</f>
        <v>Medium</v>
      </c>
      <c r="J153" s="1" t="s">
        <v>13</v>
      </c>
      <c r="K153" s="1" t="s">
        <v>12</v>
      </c>
    </row>
    <row r="154" spans="1:11" ht="15.75" x14ac:dyDescent="0.25">
      <c r="A154" s="1">
        <v>3</v>
      </c>
      <c r="B154" s="1">
        <v>0</v>
      </c>
      <c r="C154" s="1">
        <v>2</v>
      </c>
      <c r="D154" s="1" t="s">
        <v>11</v>
      </c>
      <c r="E154" s="1" t="s">
        <v>6</v>
      </c>
      <c r="F154" s="1" t="s">
        <v>5</v>
      </c>
      <c r="G154" s="1" t="s">
        <v>164</v>
      </c>
      <c r="H154" s="1" t="s">
        <v>23</v>
      </c>
      <c r="I154" s="1" t="str">
        <f t="shared" si="3"/>
        <v>Low</v>
      </c>
      <c r="J154" s="1" t="s">
        <v>49</v>
      </c>
      <c r="K154" s="1" t="s">
        <v>162</v>
      </c>
    </row>
    <row r="155" spans="1:11" ht="15.75" x14ac:dyDescent="0.25">
      <c r="A155" s="1">
        <v>3</v>
      </c>
      <c r="B155" s="1">
        <v>0</v>
      </c>
      <c r="C155" s="1">
        <v>2</v>
      </c>
      <c r="D155" s="1" t="s">
        <v>9</v>
      </c>
      <c r="E155" s="1" t="s">
        <v>6</v>
      </c>
      <c r="F155" s="1" t="s">
        <v>5</v>
      </c>
      <c r="G155" s="1" t="s">
        <v>164</v>
      </c>
      <c r="H155" s="1" t="s">
        <v>23</v>
      </c>
      <c r="I155" s="1" t="str">
        <f t="shared" si="3"/>
        <v>Low</v>
      </c>
      <c r="J155" s="1" t="s">
        <v>49</v>
      </c>
      <c r="K155" s="1" t="s">
        <v>163</v>
      </c>
    </row>
    <row r="156" spans="1:11" ht="15.75" x14ac:dyDescent="0.25">
      <c r="A156" s="1">
        <v>0</v>
      </c>
      <c r="B156" s="1">
        <v>1</v>
      </c>
      <c r="C156" s="1">
        <v>2</v>
      </c>
      <c r="D156" s="1" t="s">
        <v>11</v>
      </c>
      <c r="E156" s="1" t="s">
        <v>6</v>
      </c>
      <c r="F156" s="1" t="s">
        <v>5</v>
      </c>
      <c r="G156" s="1" t="s">
        <v>174</v>
      </c>
      <c r="H156" s="1" t="s">
        <v>23</v>
      </c>
      <c r="I156" s="1" t="str">
        <f t="shared" si="3"/>
        <v>Low</v>
      </c>
      <c r="J156" s="1" t="s">
        <v>49</v>
      </c>
      <c r="K156" s="1" t="s">
        <v>175</v>
      </c>
    </row>
    <row r="157" spans="1:11" ht="15.75" x14ac:dyDescent="0.25">
      <c r="A157" s="1">
        <v>0</v>
      </c>
      <c r="B157" s="1">
        <v>1</v>
      </c>
      <c r="C157" s="1">
        <v>2</v>
      </c>
      <c r="D157" s="1" t="s">
        <v>9</v>
      </c>
      <c r="E157" s="1" t="s">
        <v>6</v>
      </c>
      <c r="F157" s="1" t="s">
        <v>5</v>
      </c>
      <c r="G157" s="1" t="s">
        <v>174</v>
      </c>
      <c r="H157" s="1" t="s">
        <v>111</v>
      </c>
      <c r="I157" s="1" t="str">
        <f t="shared" si="3"/>
        <v>Medium</v>
      </c>
      <c r="J157" s="1" t="s">
        <v>34</v>
      </c>
      <c r="K157" s="1" t="s">
        <v>176</v>
      </c>
    </row>
    <row r="158" spans="1:11" ht="15.75" x14ac:dyDescent="0.25">
      <c r="A158" s="1">
        <v>0</v>
      </c>
      <c r="B158" s="1">
        <v>1</v>
      </c>
      <c r="C158" s="1">
        <v>2</v>
      </c>
      <c r="D158" s="1" t="s">
        <v>7</v>
      </c>
      <c r="E158" s="1" t="s">
        <v>6</v>
      </c>
      <c r="F158" s="1" t="s">
        <v>5</v>
      </c>
      <c r="G158" s="1" t="s">
        <v>174</v>
      </c>
      <c r="H158" s="1" t="s">
        <v>14</v>
      </c>
      <c r="I158" s="1" t="str">
        <f t="shared" si="3"/>
        <v>High</v>
      </c>
      <c r="J158" s="1" t="s">
        <v>177</v>
      </c>
      <c r="K158" s="1" t="s">
        <v>178</v>
      </c>
    </row>
    <row r="159" spans="1:11" ht="15.75" x14ac:dyDescent="0.25">
      <c r="A159" s="1">
        <v>3</v>
      </c>
      <c r="B159" s="1">
        <v>0</v>
      </c>
      <c r="C159" s="1">
        <v>2</v>
      </c>
      <c r="D159" s="1" t="s">
        <v>11</v>
      </c>
      <c r="E159" s="1" t="s">
        <v>6</v>
      </c>
      <c r="F159" s="1" t="s">
        <v>5</v>
      </c>
      <c r="G159" s="1" t="s">
        <v>4</v>
      </c>
      <c r="H159" s="1" t="s">
        <v>3</v>
      </c>
      <c r="I159" s="1" t="str">
        <f t="shared" si="3"/>
        <v>Medium</v>
      </c>
      <c r="J159" s="1" t="s">
        <v>1</v>
      </c>
      <c r="K159" s="1" t="s">
        <v>10</v>
      </c>
    </row>
    <row r="160" spans="1:11" ht="15.75" x14ac:dyDescent="0.25">
      <c r="A160" s="1">
        <v>3</v>
      </c>
      <c r="B160" s="1">
        <v>0</v>
      </c>
      <c r="C160" s="1">
        <v>2</v>
      </c>
      <c r="D160" s="1" t="s">
        <v>9</v>
      </c>
      <c r="E160" s="1" t="s">
        <v>6</v>
      </c>
      <c r="F160" s="1" t="s">
        <v>5</v>
      </c>
      <c r="G160" s="1" t="s">
        <v>4</v>
      </c>
      <c r="H160" s="1" t="s">
        <v>3</v>
      </c>
      <c r="I160" s="1" t="str">
        <f t="shared" si="3"/>
        <v>Medium</v>
      </c>
      <c r="J160" s="1" t="s">
        <v>1</v>
      </c>
      <c r="K160" s="1" t="s">
        <v>8</v>
      </c>
    </row>
    <row r="161" spans="1:11" ht="15.75" x14ac:dyDescent="0.25">
      <c r="A161" s="1">
        <v>3</v>
      </c>
      <c r="B161" s="1">
        <v>0</v>
      </c>
      <c r="C161" s="1">
        <v>2</v>
      </c>
      <c r="D161" s="1" t="s">
        <v>7</v>
      </c>
      <c r="E161" s="1" t="s">
        <v>6</v>
      </c>
      <c r="F161" s="1" t="s">
        <v>5</v>
      </c>
      <c r="G161" s="1" t="s">
        <v>4</v>
      </c>
      <c r="H161" s="1" t="s">
        <v>3</v>
      </c>
      <c r="I161" s="1" t="str">
        <f t="shared" si="3"/>
        <v>Medium</v>
      </c>
      <c r="J161" s="1" t="s">
        <v>1</v>
      </c>
      <c r="K161" s="1" t="s">
        <v>0</v>
      </c>
    </row>
    <row r="162" spans="1:11" ht="15.75" x14ac:dyDescent="0.25">
      <c r="A162" s="1">
        <v>3</v>
      </c>
      <c r="B162" s="1">
        <v>0</v>
      </c>
      <c r="C162" s="1">
        <v>2</v>
      </c>
      <c r="D162" s="1" t="s">
        <v>11</v>
      </c>
      <c r="E162" s="1" t="s">
        <v>6</v>
      </c>
      <c r="F162" s="1" t="s">
        <v>5</v>
      </c>
      <c r="G162" s="1" t="s">
        <v>154</v>
      </c>
      <c r="H162" s="1" t="s">
        <v>23</v>
      </c>
      <c r="I162" s="1" t="str">
        <f t="shared" si="3"/>
        <v>Low</v>
      </c>
      <c r="J162" s="1" t="s">
        <v>49</v>
      </c>
      <c r="K162" s="1" t="s">
        <v>155</v>
      </c>
    </row>
    <row r="163" spans="1:11" ht="15.75" x14ac:dyDescent="0.25">
      <c r="A163" s="1">
        <v>3</v>
      </c>
      <c r="B163" s="1">
        <v>0</v>
      </c>
      <c r="C163" s="1">
        <v>2</v>
      </c>
      <c r="D163" s="1" t="s">
        <v>9</v>
      </c>
      <c r="E163" s="1" t="s">
        <v>6</v>
      </c>
      <c r="F163" s="1" t="s">
        <v>5</v>
      </c>
      <c r="G163" s="1" t="s">
        <v>154</v>
      </c>
      <c r="H163" s="1" t="s">
        <v>23</v>
      </c>
      <c r="I163" s="1" t="str">
        <f t="shared" si="3"/>
        <v>Low</v>
      </c>
      <c r="J163" s="1" t="s">
        <v>49</v>
      </c>
      <c r="K163" s="1" t="s">
        <v>156</v>
      </c>
    </row>
    <row r="164" spans="1:11" ht="15.75" x14ac:dyDescent="0.25">
      <c r="A164" s="1">
        <v>3</v>
      </c>
      <c r="B164" s="1">
        <v>0</v>
      </c>
      <c r="C164" s="1">
        <v>2</v>
      </c>
      <c r="D164" s="1" t="s">
        <v>7</v>
      </c>
      <c r="E164" s="1" t="s">
        <v>6</v>
      </c>
      <c r="F164" s="1" t="s">
        <v>5</v>
      </c>
      <c r="G164" s="1" t="s">
        <v>154</v>
      </c>
      <c r="H164" s="1" t="s">
        <v>23</v>
      </c>
      <c r="I164" s="1" t="str">
        <f t="shared" si="3"/>
        <v>Medium</v>
      </c>
      <c r="J164" s="1" t="s">
        <v>1</v>
      </c>
      <c r="K164" s="1" t="s">
        <v>157</v>
      </c>
    </row>
    <row r="165" spans="1:11" ht="15.75" x14ac:dyDescent="0.25">
      <c r="A165" s="1">
        <v>3</v>
      </c>
      <c r="B165" s="1">
        <v>0</v>
      </c>
      <c r="C165" s="1">
        <v>2</v>
      </c>
      <c r="D165" s="1" t="s">
        <v>20</v>
      </c>
      <c r="E165" s="1" t="s">
        <v>6</v>
      </c>
      <c r="F165" s="1" t="s">
        <v>5</v>
      </c>
      <c r="G165" s="1" t="s">
        <v>154</v>
      </c>
      <c r="H165" s="1" t="s">
        <v>14</v>
      </c>
      <c r="I165" s="1" t="str">
        <f t="shared" si="3"/>
        <v>Medium</v>
      </c>
      <c r="J165" s="1" t="s">
        <v>32</v>
      </c>
      <c r="K165" s="1" t="s">
        <v>158</v>
      </c>
    </row>
    <row r="166" spans="1:11" ht="15.75" x14ac:dyDescent="0.25">
      <c r="A166" s="1">
        <v>3</v>
      </c>
      <c r="B166" s="1">
        <v>0</v>
      </c>
      <c r="C166" s="1">
        <v>2</v>
      </c>
      <c r="D166" s="1" t="s">
        <v>16</v>
      </c>
      <c r="E166" s="1" t="s">
        <v>6</v>
      </c>
      <c r="F166" s="1" t="s">
        <v>5</v>
      </c>
      <c r="G166" s="1" t="s">
        <v>154</v>
      </c>
      <c r="H166" s="1" t="s">
        <v>19</v>
      </c>
      <c r="I166" s="1" t="str">
        <f t="shared" si="3"/>
        <v>Medium</v>
      </c>
      <c r="J166" s="1" t="s">
        <v>18</v>
      </c>
      <c r="K166" s="1" t="s">
        <v>159</v>
      </c>
    </row>
    <row r="167" spans="1:11" ht="15.75" x14ac:dyDescent="0.25">
      <c r="A167" s="1">
        <v>3</v>
      </c>
      <c r="B167" s="1">
        <v>0</v>
      </c>
      <c r="C167" s="1">
        <v>2</v>
      </c>
      <c r="D167" s="1" t="s">
        <v>30</v>
      </c>
      <c r="E167" s="1" t="s">
        <v>6</v>
      </c>
      <c r="F167" s="1" t="s">
        <v>5</v>
      </c>
      <c r="G167" s="1" t="s">
        <v>154</v>
      </c>
      <c r="H167" s="1" t="s">
        <v>43</v>
      </c>
      <c r="I167" s="1" t="str">
        <f t="shared" si="3"/>
        <v>Medium</v>
      </c>
      <c r="J167" s="1" t="s">
        <v>18</v>
      </c>
      <c r="K167" s="1" t="s">
        <v>160</v>
      </c>
    </row>
    <row r="168" spans="1:11" ht="15.75" x14ac:dyDescent="0.25">
      <c r="A168" s="1">
        <v>3</v>
      </c>
      <c r="B168" s="1">
        <v>0</v>
      </c>
      <c r="C168" s="1">
        <v>2</v>
      </c>
      <c r="D168" s="1" t="s">
        <v>41</v>
      </c>
      <c r="E168" s="1" t="s">
        <v>6</v>
      </c>
      <c r="F168" s="1" t="s">
        <v>5</v>
      </c>
      <c r="G168" s="1" t="s">
        <v>154</v>
      </c>
      <c r="H168" s="1" t="s">
        <v>35</v>
      </c>
      <c r="I168" s="1" t="str">
        <f t="shared" si="3"/>
        <v>Medium</v>
      </c>
      <c r="J168" s="1" t="s">
        <v>34</v>
      </c>
      <c r="K168" s="1" t="s">
        <v>161</v>
      </c>
    </row>
    <row r="169" spans="1:11" ht="15.75" x14ac:dyDescent="0.25">
      <c r="A169" s="1">
        <v>2</v>
      </c>
      <c r="B169" s="1">
        <v>0</v>
      </c>
      <c r="C169" s="1">
        <v>2</v>
      </c>
      <c r="D169" s="1" t="s">
        <v>11</v>
      </c>
      <c r="E169" s="1" t="s">
        <v>6</v>
      </c>
      <c r="F169" s="1" t="s">
        <v>5</v>
      </c>
      <c r="G169" s="1" t="s">
        <v>179</v>
      </c>
      <c r="H169" s="1" t="s">
        <v>99</v>
      </c>
      <c r="I169" s="1" t="str">
        <f t="shared" si="3"/>
        <v>Low</v>
      </c>
      <c r="J169" s="1" t="s">
        <v>49</v>
      </c>
      <c r="K169" s="1" t="s">
        <v>185</v>
      </c>
    </row>
    <row r="170" spans="1:11" ht="15.75" x14ac:dyDescent="0.25">
      <c r="A170" s="1">
        <v>2</v>
      </c>
      <c r="B170" s="1">
        <v>0</v>
      </c>
      <c r="C170" s="1">
        <v>2</v>
      </c>
      <c r="D170" s="1" t="s">
        <v>9</v>
      </c>
      <c r="E170" s="1" t="s">
        <v>6</v>
      </c>
      <c r="F170" s="1" t="s">
        <v>5</v>
      </c>
      <c r="G170" s="1" t="s">
        <v>179</v>
      </c>
      <c r="H170" s="1" t="s">
        <v>43</v>
      </c>
      <c r="I170" s="1" t="str">
        <f t="shared" si="3"/>
        <v>Medium</v>
      </c>
      <c r="J170" s="1" t="s">
        <v>1</v>
      </c>
      <c r="K170" s="1" t="s">
        <v>186</v>
      </c>
    </row>
    <row r="171" spans="1:11" ht="15.75" x14ac:dyDescent="0.25">
      <c r="A171" s="1">
        <v>3</v>
      </c>
      <c r="B171" s="1">
        <v>0</v>
      </c>
      <c r="C171" s="1">
        <v>2</v>
      </c>
      <c r="D171" s="1" t="s">
        <v>11</v>
      </c>
      <c r="E171" s="1" t="s">
        <v>6</v>
      </c>
      <c r="F171" s="1" t="s">
        <v>5</v>
      </c>
      <c r="G171" s="1" t="s">
        <v>180</v>
      </c>
      <c r="H171" s="1" t="s">
        <v>19</v>
      </c>
      <c r="I171" s="1" t="str">
        <f t="shared" si="3"/>
        <v>Low</v>
      </c>
      <c r="J171" s="1" t="s">
        <v>49</v>
      </c>
      <c r="K171" s="1" t="s">
        <v>181</v>
      </c>
    </row>
    <row r="172" spans="1:11" ht="15.75" x14ac:dyDescent="0.25">
      <c r="A172" s="1">
        <v>3</v>
      </c>
      <c r="B172" s="1">
        <v>0</v>
      </c>
      <c r="C172" s="1">
        <v>2</v>
      </c>
      <c r="D172" s="1" t="s">
        <v>9</v>
      </c>
      <c r="E172" s="1" t="s">
        <v>6</v>
      </c>
      <c r="F172" s="1" t="s">
        <v>5</v>
      </c>
      <c r="G172" s="1" t="s">
        <v>180</v>
      </c>
      <c r="H172" s="1" t="s">
        <v>99</v>
      </c>
      <c r="I172" s="1" t="str">
        <f t="shared" si="3"/>
        <v>Medium</v>
      </c>
      <c r="J172" s="1" t="s">
        <v>34</v>
      </c>
      <c r="K172" s="1" t="s">
        <v>182</v>
      </c>
    </row>
    <row r="173" spans="1:11" ht="15.75" x14ac:dyDescent="0.25">
      <c r="A173" s="1">
        <v>0</v>
      </c>
      <c r="B173" s="1">
        <v>1</v>
      </c>
      <c r="C173" s="1">
        <v>2</v>
      </c>
      <c r="D173" s="1" t="s">
        <v>11</v>
      </c>
      <c r="E173" s="1" t="s">
        <v>6</v>
      </c>
      <c r="F173" s="1" t="s">
        <v>5</v>
      </c>
      <c r="G173" s="1" t="s">
        <v>183</v>
      </c>
      <c r="H173" s="1" t="s">
        <v>99</v>
      </c>
      <c r="I173" s="1" t="str">
        <f t="shared" si="3"/>
        <v>Low</v>
      </c>
      <c r="J173" s="1" t="s">
        <v>49</v>
      </c>
      <c r="K173" s="1" t="s">
        <v>184</v>
      </c>
    </row>
    <row r="174" spans="1:11" ht="15.75" x14ac:dyDescent="0.25">
      <c r="A174" s="1">
        <v>2</v>
      </c>
      <c r="B174" s="1">
        <v>1</v>
      </c>
      <c r="C174" s="1">
        <v>2</v>
      </c>
      <c r="D174" s="1" t="s">
        <v>11</v>
      </c>
      <c r="E174" s="1" t="s">
        <v>6</v>
      </c>
      <c r="F174" s="1" t="s">
        <v>5</v>
      </c>
      <c r="G174" s="1" t="s">
        <v>283</v>
      </c>
      <c r="H174" s="1" t="s">
        <v>23</v>
      </c>
      <c r="I174" s="1" t="s">
        <v>50</v>
      </c>
      <c r="J174" s="1" t="s">
        <v>49</v>
      </c>
      <c r="K174" s="1" t="s">
        <v>284</v>
      </c>
    </row>
    <row r="175" spans="1:11" ht="15.75" x14ac:dyDescent="0.25">
      <c r="A175" s="1">
        <v>2</v>
      </c>
      <c r="B175" s="1">
        <v>1</v>
      </c>
      <c r="C175" s="1">
        <v>2</v>
      </c>
      <c r="D175" s="1" t="s">
        <v>9</v>
      </c>
      <c r="E175" s="1" t="s">
        <v>6</v>
      </c>
      <c r="F175" s="1" t="s">
        <v>5</v>
      </c>
      <c r="G175" s="1" t="s">
        <v>283</v>
      </c>
      <c r="H175" s="1" t="s">
        <v>23</v>
      </c>
      <c r="I175" s="1" t="s">
        <v>2</v>
      </c>
      <c r="J175" s="1" t="s">
        <v>1</v>
      </c>
      <c r="K175" s="1" t="s">
        <v>285</v>
      </c>
    </row>
    <row r="176" spans="1:11" ht="15.75" x14ac:dyDescent="0.25">
      <c r="A176" s="1">
        <v>2</v>
      </c>
      <c r="B176" s="1">
        <v>1</v>
      </c>
      <c r="C176" s="1">
        <v>2</v>
      </c>
      <c r="D176" s="1" t="s">
        <v>7</v>
      </c>
      <c r="E176" s="1" t="s">
        <v>6</v>
      </c>
      <c r="F176" s="1" t="s">
        <v>5</v>
      </c>
      <c r="G176" s="1" t="s">
        <v>283</v>
      </c>
      <c r="H176" s="1" t="s">
        <v>14</v>
      </c>
      <c r="I176" s="1" t="s">
        <v>2</v>
      </c>
      <c r="J176" s="1" t="s">
        <v>32</v>
      </c>
      <c r="K176" s="1" t="s">
        <v>214</v>
      </c>
    </row>
    <row r="177" spans="1:11" ht="15.75" x14ac:dyDescent="0.25">
      <c r="A177" s="1">
        <v>2</v>
      </c>
      <c r="B177" s="1">
        <v>1</v>
      </c>
      <c r="C177" s="1">
        <v>2</v>
      </c>
      <c r="D177" s="1" t="s">
        <v>20</v>
      </c>
      <c r="E177" s="1" t="s">
        <v>6</v>
      </c>
      <c r="F177" s="1" t="s">
        <v>5</v>
      </c>
      <c r="G177" s="1" t="s">
        <v>283</v>
      </c>
      <c r="H177" s="1" t="s">
        <v>26</v>
      </c>
      <c r="I177" s="1" t="s">
        <v>2</v>
      </c>
      <c r="J177" s="1" t="s">
        <v>18</v>
      </c>
      <c r="K177" s="1" t="s">
        <v>215</v>
      </c>
    </row>
    <row r="178" spans="1:11" ht="15.75" x14ac:dyDescent="0.25">
      <c r="A178" s="1">
        <v>2</v>
      </c>
      <c r="B178" s="1">
        <v>1</v>
      </c>
      <c r="C178" s="1">
        <v>2</v>
      </c>
      <c r="D178" s="1" t="s">
        <v>16</v>
      </c>
      <c r="E178" s="1" t="s">
        <v>6</v>
      </c>
      <c r="F178" s="1" t="s">
        <v>5</v>
      </c>
      <c r="G178" s="1" t="s">
        <v>283</v>
      </c>
      <c r="H178" s="1" t="s">
        <v>43</v>
      </c>
      <c r="I178" s="1" t="s">
        <v>2</v>
      </c>
      <c r="J178" s="1" t="s">
        <v>18</v>
      </c>
      <c r="K178" s="1" t="s">
        <v>216</v>
      </c>
    </row>
    <row r="179" spans="1:11" ht="15.75" x14ac:dyDescent="0.25">
      <c r="A179" s="1">
        <v>2</v>
      </c>
      <c r="B179" s="1">
        <v>1</v>
      </c>
      <c r="C179" s="1">
        <v>2</v>
      </c>
      <c r="D179" s="1" t="s">
        <v>30</v>
      </c>
      <c r="E179" s="1" t="s">
        <v>6</v>
      </c>
      <c r="F179" s="1" t="s">
        <v>5</v>
      </c>
      <c r="G179" s="1" t="s">
        <v>283</v>
      </c>
      <c r="H179" s="1" t="s">
        <v>35</v>
      </c>
      <c r="I179" s="1" t="s">
        <v>2</v>
      </c>
      <c r="J179" s="1" t="s">
        <v>34</v>
      </c>
      <c r="K179" s="1" t="s">
        <v>286</v>
      </c>
    </row>
    <row r="180" spans="1:11" ht="15.75" x14ac:dyDescent="0.25">
      <c r="A180" s="3">
        <v>2</v>
      </c>
      <c r="B180" s="3">
        <v>1</v>
      </c>
      <c r="C180" s="1">
        <v>1</v>
      </c>
      <c r="D180" s="1" t="s">
        <v>11</v>
      </c>
      <c r="E180" s="1" t="s">
        <v>6</v>
      </c>
      <c r="F180" s="1" t="s">
        <v>5</v>
      </c>
      <c r="G180" s="1" t="s">
        <v>15</v>
      </c>
      <c r="H180" s="1" t="s">
        <v>23</v>
      </c>
      <c r="I180" s="1" t="str">
        <f t="shared" ref="I180:I204" si="4">IF(OR(RIGHT(J180,1)="1",RIGHT(J180,1)="2"),"Low",
IF(OR(RIGHT(J180,1)="3",RIGHT(J180,1)="4"),"Medium",
IF(OR(RIGHT(J180,1)="5",RIGHT(J180,1)="6"),"High","")))</f>
        <v>Medium</v>
      </c>
      <c r="J180" s="1" t="s">
        <v>1</v>
      </c>
      <c r="K180" s="1" t="s">
        <v>24</v>
      </c>
    </row>
    <row r="181" spans="1:11" ht="15.75" x14ac:dyDescent="0.25">
      <c r="A181" s="3">
        <v>2</v>
      </c>
      <c r="B181" s="3">
        <v>1</v>
      </c>
      <c r="C181" s="1">
        <v>1</v>
      </c>
      <c r="D181" s="1" t="s">
        <v>9</v>
      </c>
      <c r="E181" s="1" t="s">
        <v>6</v>
      </c>
      <c r="F181" s="1" t="s">
        <v>5</v>
      </c>
      <c r="G181" s="1" t="s">
        <v>15</v>
      </c>
      <c r="H181" s="1" t="s">
        <v>23</v>
      </c>
      <c r="I181" s="1" t="str">
        <f t="shared" si="4"/>
        <v>Medium</v>
      </c>
      <c r="J181" s="1" t="s">
        <v>1</v>
      </c>
      <c r="K181" s="1" t="s">
        <v>22</v>
      </c>
    </row>
    <row r="182" spans="1:11" ht="15.75" x14ac:dyDescent="0.25">
      <c r="A182" s="3">
        <v>2</v>
      </c>
      <c r="B182" s="3">
        <v>1</v>
      </c>
      <c r="C182" s="1">
        <v>1</v>
      </c>
      <c r="D182" s="1" t="s">
        <v>7</v>
      </c>
      <c r="E182" s="1" t="s">
        <v>6</v>
      </c>
      <c r="F182" s="1" t="s">
        <v>5</v>
      </c>
      <c r="G182" s="1" t="s">
        <v>15</v>
      </c>
      <c r="H182" s="1" t="s">
        <v>14</v>
      </c>
      <c r="I182" s="1" t="str">
        <f t="shared" si="4"/>
        <v>Medium</v>
      </c>
      <c r="J182" s="1" t="s">
        <v>13</v>
      </c>
      <c r="K182" s="1" t="s">
        <v>21</v>
      </c>
    </row>
    <row r="183" spans="1:11" ht="15.75" x14ac:dyDescent="0.25">
      <c r="A183" s="3">
        <v>2</v>
      </c>
      <c r="B183" s="3">
        <v>1</v>
      </c>
      <c r="C183" s="1">
        <v>1</v>
      </c>
      <c r="D183" s="1" t="s">
        <v>20</v>
      </c>
      <c r="E183" s="1" t="s">
        <v>6</v>
      </c>
      <c r="F183" s="1" t="s">
        <v>5</v>
      </c>
      <c r="G183" s="1" t="s">
        <v>15</v>
      </c>
      <c r="H183" s="1" t="s">
        <v>19</v>
      </c>
      <c r="I183" s="1" t="str">
        <f t="shared" si="4"/>
        <v>Medium</v>
      </c>
      <c r="J183" s="1" t="s">
        <v>18</v>
      </c>
      <c r="K183" s="1" t="s">
        <v>17</v>
      </c>
    </row>
    <row r="184" spans="1:11" ht="15.75" x14ac:dyDescent="0.25">
      <c r="A184" s="3">
        <v>2</v>
      </c>
      <c r="B184" s="3">
        <v>1</v>
      </c>
      <c r="C184" s="1">
        <v>1</v>
      </c>
      <c r="D184" s="1" t="s">
        <v>16</v>
      </c>
      <c r="E184" s="1" t="s">
        <v>6</v>
      </c>
      <c r="F184" s="1" t="s">
        <v>5</v>
      </c>
      <c r="G184" s="1" t="s">
        <v>15</v>
      </c>
      <c r="H184" s="1" t="s">
        <v>14</v>
      </c>
      <c r="I184" s="1" t="str">
        <f t="shared" si="4"/>
        <v>Medium</v>
      </c>
      <c r="J184" s="1" t="s">
        <v>13</v>
      </c>
      <c r="K184" s="1" t="s">
        <v>12</v>
      </c>
    </row>
    <row r="185" spans="1:11" ht="15.75" x14ac:dyDescent="0.25">
      <c r="A185" s="3">
        <v>2</v>
      </c>
      <c r="B185" s="3">
        <v>0</v>
      </c>
      <c r="C185" s="1">
        <v>1</v>
      </c>
      <c r="D185" s="1" t="s">
        <v>11</v>
      </c>
      <c r="E185" s="1" t="s">
        <v>6</v>
      </c>
      <c r="F185" s="1" t="s">
        <v>5</v>
      </c>
      <c r="G185" s="1" t="s">
        <v>287</v>
      </c>
      <c r="H185" s="1" t="s">
        <v>23</v>
      </c>
      <c r="I185" s="1" t="str">
        <f t="shared" si="4"/>
        <v>Low</v>
      </c>
      <c r="J185" s="1" t="s">
        <v>49</v>
      </c>
      <c r="K185" s="1" t="s">
        <v>288</v>
      </c>
    </row>
    <row r="186" spans="1:11" ht="15.75" x14ac:dyDescent="0.25">
      <c r="A186" s="3">
        <v>2</v>
      </c>
      <c r="B186" s="3">
        <v>0</v>
      </c>
      <c r="C186" s="1">
        <v>1</v>
      </c>
      <c r="D186" s="1" t="s">
        <v>9</v>
      </c>
      <c r="E186" s="1" t="s">
        <v>6</v>
      </c>
      <c r="F186" s="1" t="s">
        <v>5</v>
      </c>
      <c r="G186" s="1" t="s">
        <v>287</v>
      </c>
      <c r="H186" s="1" t="s">
        <v>3</v>
      </c>
      <c r="I186" s="1" t="str">
        <f t="shared" si="4"/>
        <v>Medium</v>
      </c>
      <c r="J186" s="1" t="s">
        <v>34</v>
      </c>
      <c r="K186" s="1" t="s">
        <v>289</v>
      </c>
    </row>
    <row r="187" spans="1:11" ht="15.75" x14ac:dyDescent="0.25">
      <c r="A187" s="3">
        <v>2</v>
      </c>
      <c r="B187" s="3">
        <v>0</v>
      </c>
      <c r="C187" s="1">
        <v>1</v>
      </c>
      <c r="D187" s="1" t="s">
        <v>11</v>
      </c>
      <c r="E187" s="1" t="s">
        <v>6</v>
      </c>
      <c r="F187" s="1" t="s">
        <v>5</v>
      </c>
      <c r="G187" s="1" t="s">
        <v>290</v>
      </c>
      <c r="H187" s="1" t="s">
        <v>141</v>
      </c>
      <c r="I187" s="1" t="str">
        <f t="shared" si="4"/>
        <v>Medium</v>
      </c>
      <c r="J187" s="1" t="s">
        <v>1</v>
      </c>
      <c r="K187" s="1" t="s">
        <v>291</v>
      </c>
    </row>
    <row r="188" spans="1:11" ht="15.75" x14ac:dyDescent="0.25">
      <c r="A188" s="3">
        <v>2</v>
      </c>
      <c r="B188" s="3">
        <v>0</v>
      </c>
      <c r="C188" s="1">
        <v>1</v>
      </c>
      <c r="D188" s="1" t="s">
        <v>9</v>
      </c>
      <c r="E188" s="1" t="s">
        <v>6</v>
      </c>
      <c r="F188" s="1" t="s">
        <v>5</v>
      </c>
      <c r="G188" s="1" t="s">
        <v>290</v>
      </c>
      <c r="H188" s="1" t="s">
        <v>43</v>
      </c>
      <c r="I188" s="1" t="str">
        <f t="shared" si="4"/>
        <v>High</v>
      </c>
      <c r="J188" s="1" t="s">
        <v>56</v>
      </c>
      <c r="K188" s="1" t="s">
        <v>292</v>
      </c>
    </row>
    <row r="189" spans="1:11" ht="15.75" x14ac:dyDescent="0.25">
      <c r="A189" s="3">
        <v>2</v>
      </c>
      <c r="B189" s="3">
        <v>0</v>
      </c>
      <c r="C189" s="1">
        <v>1</v>
      </c>
      <c r="D189" s="1" t="s">
        <v>7</v>
      </c>
      <c r="E189" s="1" t="s">
        <v>6</v>
      </c>
      <c r="F189" s="1" t="s">
        <v>5</v>
      </c>
      <c r="G189" s="1" t="s">
        <v>290</v>
      </c>
      <c r="H189" s="1" t="s">
        <v>43</v>
      </c>
      <c r="I189" s="1" t="str">
        <f t="shared" si="4"/>
        <v>Medium</v>
      </c>
      <c r="J189" s="1" t="s">
        <v>34</v>
      </c>
      <c r="K189" s="1" t="s">
        <v>293</v>
      </c>
    </row>
    <row r="190" spans="1:11" ht="15.75" x14ac:dyDescent="0.25">
      <c r="A190" s="3">
        <v>0</v>
      </c>
      <c r="B190" s="3">
        <v>1</v>
      </c>
      <c r="C190" s="1">
        <v>1</v>
      </c>
      <c r="D190" s="1" t="s">
        <v>11</v>
      </c>
      <c r="E190" s="1" t="s">
        <v>6</v>
      </c>
      <c r="F190" s="1" t="s">
        <v>5</v>
      </c>
      <c r="G190" s="1" t="s">
        <v>294</v>
      </c>
      <c r="H190" s="1" t="s">
        <v>99</v>
      </c>
      <c r="I190" s="1" t="str">
        <f t="shared" si="4"/>
        <v>Low</v>
      </c>
      <c r="J190" s="1" t="s">
        <v>49</v>
      </c>
      <c r="K190" s="1" t="s">
        <v>295</v>
      </c>
    </row>
    <row r="191" spans="1:11" ht="15.75" x14ac:dyDescent="0.25">
      <c r="A191" s="3">
        <v>2</v>
      </c>
      <c r="B191" s="3">
        <v>1</v>
      </c>
      <c r="C191" s="1">
        <v>1</v>
      </c>
      <c r="D191" s="1" t="s">
        <v>11</v>
      </c>
      <c r="E191" s="1" t="s">
        <v>6</v>
      </c>
      <c r="F191" s="1" t="s">
        <v>5</v>
      </c>
      <c r="G191" s="1" t="s">
        <v>296</v>
      </c>
      <c r="H191" s="1" t="s">
        <v>23</v>
      </c>
      <c r="I191" s="1" t="str">
        <f t="shared" si="4"/>
        <v>Low</v>
      </c>
      <c r="J191" s="1" t="s">
        <v>49</v>
      </c>
      <c r="K191" s="1" t="s">
        <v>297</v>
      </c>
    </row>
    <row r="192" spans="1:11" ht="15.75" x14ac:dyDescent="0.25">
      <c r="A192" s="3">
        <v>2</v>
      </c>
      <c r="B192" s="3">
        <v>1</v>
      </c>
      <c r="C192" s="1">
        <v>1</v>
      </c>
      <c r="D192" s="1" t="s">
        <v>9</v>
      </c>
      <c r="E192" s="1" t="s">
        <v>6</v>
      </c>
      <c r="F192" s="1" t="s">
        <v>5</v>
      </c>
      <c r="G192" s="1" t="s">
        <v>296</v>
      </c>
      <c r="H192" s="1" t="s">
        <v>3</v>
      </c>
      <c r="I192" s="1" t="str">
        <f t="shared" si="4"/>
        <v>Medium</v>
      </c>
      <c r="J192" s="1" t="s">
        <v>34</v>
      </c>
      <c r="K192" s="1" t="s">
        <v>298</v>
      </c>
    </row>
    <row r="193" spans="1:11" ht="15.75" x14ac:dyDescent="0.25">
      <c r="A193" s="3">
        <v>2</v>
      </c>
      <c r="B193" s="3">
        <v>1</v>
      </c>
      <c r="C193" s="1">
        <v>1</v>
      </c>
      <c r="D193" s="1" t="s">
        <v>7</v>
      </c>
      <c r="E193" s="1" t="s">
        <v>6</v>
      </c>
      <c r="F193" s="1" t="s">
        <v>5</v>
      </c>
      <c r="G193" s="1" t="s">
        <v>296</v>
      </c>
      <c r="H193" s="1" t="s">
        <v>14</v>
      </c>
      <c r="I193" s="1" t="str">
        <f t="shared" si="4"/>
        <v>Medium</v>
      </c>
      <c r="J193" s="1" t="s">
        <v>1</v>
      </c>
      <c r="K193" s="1" t="s">
        <v>299</v>
      </c>
    </row>
    <row r="194" spans="1:11" ht="15.75" x14ac:dyDescent="0.25">
      <c r="A194" s="3">
        <v>2</v>
      </c>
      <c r="B194" s="3">
        <v>1</v>
      </c>
      <c r="C194" s="1">
        <v>1</v>
      </c>
      <c r="D194" s="1" t="s">
        <v>20</v>
      </c>
      <c r="E194" s="1" t="s">
        <v>6</v>
      </c>
      <c r="F194" s="1" t="s">
        <v>5</v>
      </c>
      <c r="G194" s="1" t="s">
        <v>296</v>
      </c>
      <c r="H194" s="1" t="s">
        <v>141</v>
      </c>
      <c r="I194" s="1" t="str">
        <f t="shared" si="4"/>
        <v>Medium</v>
      </c>
      <c r="J194" s="1" t="s">
        <v>18</v>
      </c>
      <c r="K194" s="1" t="s">
        <v>300</v>
      </c>
    </row>
    <row r="195" spans="1:11" ht="15.75" x14ac:dyDescent="0.25">
      <c r="A195" s="3">
        <v>2</v>
      </c>
      <c r="B195" s="3">
        <v>1</v>
      </c>
      <c r="C195" s="1">
        <v>1</v>
      </c>
      <c r="D195" s="1" t="s">
        <v>16</v>
      </c>
      <c r="E195" s="1" t="s">
        <v>6</v>
      </c>
      <c r="F195" s="1" t="s">
        <v>5</v>
      </c>
      <c r="G195" s="1" t="s">
        <v>296</v>
      </c>
      <c r="H195" s="1" t="s">
        <v>26</v>
      </c>
      <c r="I195" s="1" t="str">
        <f t="shared" si="4"/>
        <v>Medium</v>
      </c>
      <c r="J195" s="1" t="s">
        <v>18</v>
      </c>
      <c r="K195" s="1" t="s">
        <v>301</v>
      </c>
    </row>
    <row r="196" spans="1:11" ht="15.75" x14ac:dyDescent="0.25">
      <c r="A196" s="3">
        <v>0</v>
      </c>
      <c r="B196" s="3">
        <v>1</v>
      </c>
      <c r="C196" s="1">
        <v>1</v>
      </c>
      <c r="D196" s="1" t="s">
        <v>11</v>
      </c>
      <c r="E196" s="1" t="s">
        <v>6</v>
      </c>
      <c r="F196" s="1" t="s">
        <v>5</v>
      </c>
      <c r="G196" s="1" t="s">
        <v>302</v>
      </c>
      <c r="H196" s="1" t="s">
        <v>23</v>
      </c>
      <c r="I196" s="1" t="str">
        <f t="shared" si="4"/>
        <v>Low</v>
      </c>
      <c r="J196" s="1" t="s">
        <v>190</v>
      </c>
      <c r="K196" s="1" t="s">
        <v>303</v>
      </c>
    </row>
    <row r="197" spans="1:11" ht="15.75" x14ac:dyDescent="0.25">
      <c r="A197" s="3">
        <v>0</v>
      </c>
      <c r="B197" s="3">
        <v>1</v>
      </c>
      <c r="C197" s="1">
        <v>1</v>
      </c>
      <c r="D197" s="1" t="s">
        <v>9</v>
      </c>
      <c r="E197" s="1" t="s">
        <v>6</v>
      </c>
      <c r="F197" s="1" t="s">
        <v>5</v>
      </c>
      <c r="G197" s="1" t="s">
        <v>302</v>
      </c>
      <c r="H197" s="1" t="s">
        <v>111</v>
      </c>
      <c r="I197" s="1" t="str">
        <f t="shared" si="4"/>
        <v>Medium</v>
      </c>
      <c r="J197" s="1" t="s">
        <v>13</v>
      </c>
      <c r="K197" s="1" t="s">
        <v>304</v>
      </c>
    </row>
    <row r="198" spans="1:11" ht="15.75" x14ac:dyDescent="0.25">
      <c r="A198" s="3">
        <v>0</v>
      </c>
      <c r="B198" s="3">
        <v>1</v>
      </c>
      <c r="C198" s="1">
        <v>1</v>
      </c>
      <c r="D198" s="1" t="s">
        <v>7</v>
      </c>
      <c r="E198" s="1" t="s">
        <v>6</v>
      </c>
      <c r="F198" s="1" t="s">
        <v>5</v>
      </c>
      <c r="G198" s="1" t="s">
        <v>302</v>
      </c>
      <c r="H198" s="1" t="s">
        <v>19</v>
      </c>
      <c r="I198" s="1" t="str">
        <f t="shared" si="4"/>
        <v>Low</v>
      </c>
      <c r="J198" s="1" t="s">
        <v>190</v>
      </c>
      <c r="K198" s="1" t="s">
        <v>305</v>
      </c>
    </row>
    <row r="199" spans="1:11" ht="15.75" x14ac:dyDescent="0.25">
      <c r="A199" s="3">
        <v>3</v>
      </c>
      <c r="B199" s="3">
        <v>0</v>
      </c>
      <c r="C199" s="1">
        <v>1</v>
      </c>
      <c r="D199" s="1" t="s">
        <v>11</v>
      </c>
      <c r="E199" s="1" t="s">
        <v>6</v>
      </c>
      <c r="F199" s="1" t="s">
        <v>5</v>
      </c>
      <c r="G199" s="1" t="s">
        <v>306</v>
      </c>
      <c r="H199" s="1" t="s">
        <v>3</v>
      </c>
      <c r="I199" s="1" t="str">
        <f t="shared" si="4"/>
        <v>Medium</v>
      </c>
      <c r="J199" s="1" t="s">
        <v>1</v>
      </c>
      <c r="K199" s="1" t="s">
        <v>307</v>
      </c>
    </row>
    <row r="200" spans="1:11" ht="15.75" x14ac:dyDescent="0.25">
      <c r="A200" s="3">
        <v>3</v>
      </c>
      <c r="B200" s="3">
        <v>0</v>
      </c>
      <c r="C200" s="1">
        <v>1</v>
      </c>
      <c r="D200" s="1" t="s">
        <v>9</v>
      </c>
      <c r="E200" s="1" t="s">
        <v>6</v>
      </c>
      <c r="F200" s="1" t="s">
        <v>5</v>
      </c>
      <c r="G200" s="1" t="s">
        <v>306</v>
      </c>
      <c r="H200" s="1" t="s">
        <v>3</v>
      </c>
      <c r="I200" s="1" t="str">
        <f t="shared" si="4"/>
        <v>Medium</v>
      </c>
      <c r="J200" s="1" t="s">
        <v>1</v>
      </c>
      <c r="K200" s="1" t="s">
        <v>308</v>
      </c>
    </row>
    <row r="201" spans="1:11" ht="15.75" x14ac:dyDescent="0.25">
      <c r="A201" s="3">
        <v>3</v>
      </c>
      <c r="B201" s="3">
        <v>0</v>
      </c>
      <c r="C201" s="1">
        <v>1</v>
      </c>
      <c r="D201" s="1" t="s">
        <v>7</v>
      </c>
      <c r="E201" s="1" t="s">
        <v>6</v>
      </c>
      <c r="F201" s="1" t="s">
        <v>5</v>
      </c>
      <c r="G201" s="1" t="s">
        <v>306</v>
      </c>
      <c r="H201" s="1" t="s">
        <v>3</v>
      </c>
      <c r="I201" s="1" t="str">
        <f t="shared" si="4"/>
        <v>Medium</v>
      </c>
      <c r="J201" s="1" t="s">
        <v>1</v>
      </c>
      <c r="K201" s="1" t="s">
        <v>309</v>
      </c>
    </row>
    <row r="202" spans="1:11" ht="15.75" x14ac:dyDescent="0.25">
      <c r="A202" s="3">
        <v>3</v>
      </c>
      <c r="B202" s="3">
        <v>0</v>
      </c>
      <c r="C202" s="1">
        <v>1</v>
      </c>
      <c r="D202" s="1" t="s">
        <v>11</v>
      </c>
      <c r="E202" s="1" t="s">
        <v>6</v>
      </c>
      <c r="F202" s="1" t="s">
        <v>5</v>
      </c>
      <c r="G202" s="1" t="s">
        <v>310</v>
      </c>
      <c r="H202" s="1" t="s">
        <v>19</v>
      </c>
      <c r="I202" s="1" t="str">
        <f t="shared" si="4"/>
        <v>Low</v>
      </c>
      <c r="J202" s="1" t="s">
        <v>49</v>
      </c>
      <c r="K202" s="1" t="s">
        <v>311</v>
      </c>
    </row>
    <row r="203" spans="1:11" ht="15.75" x14ac:dyDescent="0.25">
      <c r="A203" s="3">
        <v>3</v>
      </c>
      <c r="B203" s="3">
        <v>0</v>
      </c>
      <c r="C203" s="1">
        <v>1</v>
      </c>
      <c r="D203" s="1" t="s">
        <v>9</v>
      </c>
      <c r="E203" s="1" t="s">
        <v>6</v>
      </c>
      <c r="F203" s="1" t="s">
        <v>5</v>
      </c>
      <c r="G203" s="1" t="s">
        <v>310</v>
      </c>
      <c r="H203" s="1" t="s">
        <v>19</v>
      </c>
      <c r="I203" s="1" t="str">
        <f t="shared" si="4"/>
        <v>Low</v>
      </c>
      <c r="J203" s="1" t="s">
        <v>49</v>
      </c>
      <c r="K203" s="1" t="s">
        <v>312</v>
      </c>
    </row>
    <row r="204" spans="1:11" ht="15.75" x14ac:dyDescent="0.25">
      <c r="A204" s="3">
        <v>3</v>
      </c>
      <c r="B204" s="3">
        <v>0</v>
      </c>
      <c r="C204" s="1">
        <v>1</v>
      </c>
      <c r="D204" s="1" t="s">
        <v>7</v>
      </c>
      <c r="E204" s="1" t="s">
        <v>6</v>
      </c>
      <c r="F204" s="1" t="s">
        <v>5</v>
      </c>
      <c r="G204" s="1" t="s">
        <v>310</v>
      </c>
      <c r="H204" s="1" t="s">
        <v>19</v>
      </c>
      <c r="I204" s="1" t="str">
        <f t="shared" si="4"/>
        <v>High</v>
      </c>
      <c r="J204" s="1" t="s">
        <v>56</v>
      </c>
      <c r="K204" s="1" t="s">
        <v>313</v>
      </c>
    </row>
  </sheetData>
  <phoneticPr fontId="1"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D8838-1632-47C8-8457-F77ECDBED0BB}">
  <dimension ref="A1:B17"/>
  <sheetViews>
    <sheetView workbookViewId="0">
      <selection activeCell="D18" sqref="D18"/>
    </sheetView>
  </sheetViews>
  <sheetFormatPr defaultRowHeight="15" x14ac:dyDescent="0.25"/>
  <sheetData>
    <row r="1" spans="1:2" x14ac:dyDescent="0.25">
      <c r="A1" t="s">
        <v>137</v>
      </c>
      <c r="B1" t="s">
        <v>136</v>
      </c>
    </row>
    <row r="2" spans="1:2" x14ac:dyDescent="0.25">
      <c r="A2" t="s">
        <v>138</v>
      </c>
      <c r="B2" t="s">
        <v>135</v>
      </c>
    </row>
    <row r="3" spans="1:2" x14ac:dyDescent="0.25">
      <c r="A3" t="s">
        <v>139</v>
      </c>
      <c r="B3" t="s">
        <v>134</v>
      </c>
    </row>
    <row r="4" spans="1:2" x14ac:dyDescent="0.25">
      <c r="A4" t="s">
        <v>140</v>
      </c>
      <c r="B4" t="s">
        <v>133</v>
      </c>
    </row>
    <row r="6" spans="1:2" x14ac:dyDescent="0.25">
      <c r="A6" t="s">
        <v>23</v>
      </c>
      <c r="B6" t="s">
        <v>142</v>
      </c>
    </row>
    <row r="7" spans="1:2" x14ac:dyDescent="0.25">
      <c r="A7" t="s">
        <v>3</v>
      </c>
      <c r="B7" t="s">
        <v>143</v>
      </c>
    </row>
    <row r="8" spans="1:2" x14ac:dyDescent="0.25">
      <c r="A8" t="s">
        <v>111</v>
      </c>
      <c r="B8" t="s">
        <v>144</v>
      </c>
    </row>
    <row r="9" spans="1:2" x14ac:dyDescent="0.25">
      <c r="A9" t="s">
        <v>35</v>
      </c>
      <c r="B9" t="s">
        <v>145</v>
      </c>
    </row>
    <row r="10" spans="1:2" x14ac:dyDescent="0.25">
      <c r="A10" t="s">
        <v>14</v>
      </c>
      <c r="B10" t="s">
        <v>146</v>
      </c>
    </row>
    <row r="11" spans="1:2" x14ac:dyDescent="0.25">
      <c r="A11" t="s">
        <v>43</v>
      </c>
      <c r="B11" t="s">
        <v>147</v>
      </c>
    </row>
    <row r="12" spans="1:2" x14ac:dyDescent="0.25">
      <c r="A12" t="s">
        <v>141</v>
      </c>
      <c r="B12" t="s">
        <v>148</v>
      </c>
    </row>
    <row r="13" spans="1:2" x14ac:dyDescent="0.25">
      <c r="A13" t="s">
        <v>26</v>
      </c>
      <c r="B13" t="s">
        <v>149</v>
      </c>
    </row>
    <row r="14" spans="1:2" x14ac:dyDescent="0.25">
      <c r="A14" t="s">
        <v>19</v>
      </c>
      <c r="B14" t="s">
        <v>150</v>
      </c>
    </row>
    <row r="15" spans="1:2" x14ac:dyDescent="0.25">
      <c r="A15" t="s">
        <v>89</v>
      </c>
      <c r="B15" t="s">
        <v>151</v>
      </c>
    </row>
    <row r="16" spans="1:2" x14ac:dyDescent="0.25">
      <c r="A16" t="s">
        <v>99</v>
      </c>
      <c r="B16" t="s">
        <v>152</v>
      </c>
    </row>
    <row r="17" spans="1:2" x14ac:dyDescent="0.25">
      <c r="A17" t="s">
        <v>96</v>
      </c>
      <c r="B17" t="s">
        <v>153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Qalam_CLOs</vt:lpstr>
      <vt:lpstr>PEO_and_PLO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Haider Ejaz</dc:creator>
  <cp:lastModifiedBy>Dr. Haider Ejaz</cp:lastModifiedBy>
  <dcterms:created xsi:type="dcterms:W3CDTF">2026-05-13T06:56:40Z</dcterms:created>
  <dcterms:modified xsi:type="dcterms:W3CDTF">2026-06-04T05:31:31Z</dcterms:modified>
</cp:coreProperties>
</file>