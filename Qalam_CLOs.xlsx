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ustedupk0-my.sharepoint.com/personal/haider_ejaz_scme_nust_edu_pk/Documents/Documents/Admin/OBE/ChE_Department/"/>
    </mc:Choice>
  </mc:AlternateContent>
  <xr:revisionPtr revIDLastSave="41" documentId="8_{72BEDB17-DB59-42F8-A005-79DB39BF107B}" xr6:coauthVersionLast="47" xr6:coauthVersionMax="47" xr10:uidLastSave="{F038F8B2-9860-441B-8B6B-693DD3687791}"/>
  <bookViews>
    <workbookView xWindow="-120" yWindow="-120" windowWidth="29040" windowHeight="15840" xr2:uid="{9D6AA90D-13A6-48D1-AA58-01D187F8278C}"/>
  </bookViews>
  <sheets>
    <sheet name="Qalam_CLOs" sheetId="1" r:id="rId1"/>
    <sheet name="PEO_and_PLO" sheetId="2" r:id="rId2"/>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1" l="1"/>
  <c r="B2" i="1"/>
  <c r="A3" i="1"/>
  <c r="B3" i="1"/>
  <c r="A4" i="1"/>
  <c r="B4" i="1"/>
  <c r="A5" i="1"/>
  <c r="B5" i="1"/>
  <c r="A6" i="1"/>
  <c r="B6" i="1"/>
  <c r="A7" i="1"/>
  <c r="B7" i="1"/>
  <c r="A8" i="1"/>
  <c r="B8" i="1"/>
  <c r="A9" i="1"/>
  <c r="B9" i="1"/>
  <c r="A10" i="1"/>
  <c r="B10" i="1"/>
  <c r="A11" i="1"/>
  <c r="B11" i="1"/>
  <c r="A12" i="1"/>
  <c r="B12" i="1"/>
  <c r="A13" i="1"/>
  <c r="B13" i="1"/>
  <c r="A14" i="1"/>
  <c r="B14" i="1"/>
  <c r="A15" i="1"/>
  <c r="B15" i="1"/>
  <c r="A16" i="1"/>
  <c r="B16" i="1"/>
  <c r="A17" i="1"/>
  <c r="B17" i="1"/>
  <c r="A18" i="1"/>
  <c r="B18" i="1"/>
  <c r="A19" i="1"/>
  <c r="B19" i="1"/>
  <c r="A20" i="1"/>
  <c r="B20"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 r="A37" i="1"/>
  <c r="B37" i="1"/>
  <c r="A38" i="1"/>
  <c r="B38" i="1"/>
  <c r="A39" i="1"/>
  <c r="B39" i="1"/>
  <c r="A40" i="1"/>
  <c r="B40" i="1"/>
  <c r="A41" i="1"/>
  <c r="B41" i="1"/>
  <c r="A42" i="1"/>
  <c r="B42" i="1"/>
  <c r="A43" i="1"/>
  <c r="B43" i="1"/>
  <c r="A44" i="1"/>
  <c r="B44" i="1"/>
  <c r="A45" i="1"/>
  <c r="B45" i="1"/>
  <c r="A46" i="1"/>
  <c r="B46" i="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A66" i="1"/>
  <c r="B66" i="1"/>
  <c r="A67" i="1"/>
  <c r="B67" i="1"/>
  <c r="A68" i="1"/>
  <c r="B68" i="1"/>
  <c r="A69" i="1"/>
  <c r="B69" i="1"/>
  <c r="A70" i="1"/>
  <c r="B70" i="1"/>
  <c r="A71" i="1"/>
  <c r="B71" i="1"/>
  <c r="A72" i="1"/>
  <c r="B72" i="1"/>
  <c r="A73" i="1"/>
  <c r="B73" i="1"/>
  <c r="A74" i="1"/>
  <c r="B74" i="1"/>
  <c r="A75" i="1"/>
  <c r="B75" i="1"/>
  <c r="A76" i="1"/>
  <c r="B76" i="1"/>
  <c r="A77" i="1"/>
  <c r="B77" i="1"/>
  <c r="B79" i="1"/>
  <c r="B80" i="1"/>
  <c r="B81" i="1"/>
  <c r="B82" i="1"/>
  <c r="B83" i="1"/>
  <c r="B84" i="1"/>
  <c r="B85" i="1"/>
  <c r="B86" i="1"/>
  <c r="B87" i="1"/>
  <c r="B88" i="1"/>
  <c r="B89" i="1"/>
  <c r="B90" i="1"/>
  <c r="B91" i="1"/>
  <c r="B92" i="1"/>
  <c r="B78" i="1"/>
  <c r="A79" i="1"/>
  <c r="A80" i="1"/>
  <c r="A81" i="1"/>
  <c r="A82" i="1"/>
  <c r="A83" i="1"/>
  <c r="A84" i="1"/>
  <c r="A85" i="1"/>
  <c r="A86" i="1"/>
  <c r="A87" i="1"/>
  <c r="A88" i="1"/>
  <c r="A89" i="1"/>
  <c r="A90" i="1"/>
  <c r="A91" i="1"/>
  <c r="A92" i="1"/>
  <c r="A78" i="1"/>
</calcChain>
</file>

<file path=xl/sharedStrings.xml><?xml version="1.0" encoding="utf-8"?>
<sst xmlns="http://schemas.openxmlformats.org/spreadsheetml/2006/main" count="770" uniqueCount="192">
  <si>
    <t>Interprets and modifies data presented in various formats, including but not limited to tables, graphs, charts, and equations, to produce meaningful insights.</t>
  </si>
  <si>
    <t>C-3</t>
  </si>
  <si>
    <t>Medium</t>
  </si>
  <si>
    <t>PLO-2</t>
  </si>
  <si>
    <t>QR-100 - Quantitative Reasoning-I</t>
  </si>
  <si>
    <t>BE Chemical Engineering-25</t>
  </si>
  <si>
    <t>SCME/BCHMLE/2025F</t>
  </si>
  <si>
    <t>CLO-3</t>
  </si>
  <si>
    <t>Solves problems using fundamental mathematical and statistical concepts, demonstrates their applications, and relates them to real-world scenarios.</t>
  </si>
  <si>
    <t>CLO-2</t>
  </si>
  <si>
    <t>Applies fundamental numerical literacy to compute values, demonstrate numerical relationships, and construct accurate data representations.</t>
  </si>
  <si>
    <t>CLO-1</t>
  </si>
  <si>
    <t>Collect data from the experiment and analyse it in the view of theoretical understanding developed during the class.</t>
  </si>
  <si>
    <t>P-3</t>
  </si>
  <si>
    <t>PLO-5</t>
  </si>
  <si>
    <t>PHY-102 - Applied Physics</t>
  </si>
  <si>
    <t>CLO-5</t>
  </si>
  <si>
    <t>Exhibit capability to work in team during the lab activities</t>
  </si>
  <si>
    <t>A-3</t>
  </si>
  <si>
    <t>PLO-9</t>
  </si>
  <si>
    <t>CLO-4</t>
  </si>
  <si>
    <t>Realize the experiment by following instructions by the teacher</t>
  </si>
  <si>
    <t>Discuss the fundamentals of electromagnetic induction and thermometry to demonstrate the working principle of related equipment</t>
  </si>
  <si>
    <t>PLO-1</t>
  </si>
  <si>
    <t>Identify and interpret the core concepts of Newtonian mechanics to solve basic problems of applied physics</t>
  </si>
  <si>
    <t>Initiate experiment by following equipment procedure and safety SOP’s.</t>
  </si>
  <si>
    <t>PLO-8</t>
  </si>
  <si>
    <t>CHE-346 - Particulate Technology</t>
  </si>
  <si>
    <t>BE Chemical Engineering-24</t>
  </si>
  <si>
    <t>SCME/BCHMLE/2024F</t>
  </si>
  <si>
    <t>CLO-6</t>
  </si>
  <si>
    <t>Grind solid particles and perform distribution analysis by use of standards (Tyler mesh standard) for particle size analysis.</t>
  </si>
  <si>
    <t>P-4</t>
  </si>
  <si>
    <t>Analyze the effect of attrition, impact and compression on particle size reduction and determine efficiency of equipment.</t>
  </si>
  <si>
    <t>C-4</t>
  </si>
  <si>
    <t>PLO-4</t>
  </si>
  <si>
    <t xml:space="preserve">Follows Equipment’s standard operating procedure (SOP) for particle size reduction, separation and handling. </t>
  </si>
  <si>
    <t>Extend the concepts of particulate behavior to illustrate the mechanism of mixing and separation of solids</t>
  </si>
  <si>
    <t>Relate the fundamentals of particulate systems to size reduction, transportation and storage of solids</t>
  </si>
  <si>
    <t>Recall the standard experimental procedures and analyze and interpret the results, comparing them with theoretical concepts learned in class to identify any discrepancies and derive valid conclusions</t>
  </si>
  <si>
    <t>CHE-242 - Heat Transfer</t>
  </si>
  <si>
    <t>CLO-7</t>
  </si>
  <si>
    <t>Follows lab safety considerations for operating all kinds of heat exchangers and electrical heating devices and apply them consistently to maintain a safe working environment.</t>
  </si>
  <si>
    <t>PLO-6</t>
  </si>
  <si>
    <t>Demonstrate punctuality and attentive demeanor as an individual or in a team during the whole lab session to improve productivity and meet deadlines</t>
  </si>
  <si>
    <t>Execute the standard startup procedure and set the requisite temperature, flows and pressures by following the established protocols, and collecting data at the appropriate time.</t>
  </si>
  <si>
    <t>Solve and analyze engineering problems pertaining to heat transfer operations</t>
  </si>
  <si>
    <t>Use the knowledge of heat transfer model equations to solve problems related to heat transfer systems</t>
  </si>
  <si>
    <t>Comprehend the fundamentals of heat transfer related to steady state conduction, convection, and radiation</t>
  </si>
  <si>
    <t>C-2</t>
  </si>
  <si>
    <t>Low</t>
  </si>
  <si>
    <t>Relate the knowledge for Mathematical formulation of physical problems and their solutions</t>
  </si>
  <si>
    <t>MATH-243 - Vector Calculus</t>
  </si>
  <si>
    <t>Choose and apply the methods for analytic and approximate solutions of Ordinary and Partial differential equations</t>
  </si>
  <si>
    <t>Comprehend the characterization of differential equations and select the appropriate method for solution</t>
  </si>
  <si>
    <t>Analyze and solve engineering problems pertaining to transport phenomena in industrial processes.</t>
  </si>
  <si>
    <t>C-5</t>
  </si>
  <si>
    <t>High</t>
  </si>
  <si>
    <t>CHE-345 - Transport Phenomena</t>
  </si>
  <si>
    <t>BE Chemical Engineering-23</t>
  </si>
  <si>
    <t>SCME/BCHMLE/2023F</t>
  </si>
  <si>
    <t>Express microscopic and macroscopic mass/energy/momentum balances equation and solve them for several systems applying appropriate conservation statements and boundary conditions</t>
  </si>
  <si>
    <t>Comprehend mechanisms of momentum, heat and mass transport and identify their applications for steady and transient flow systems</t>
  </si>
  <si>
    <t>C4</t>
  </si>
  <si>
    <t>CHE-347 - Chemical Reaction Engineering</t>
  </si>
  <si>
    <t>CLO-8</t>
  </si>
  <si>
    <t>Practice lab safety considerations while preparing reactants and collecting products for any toxic or corrosive substances. Identify any signs of runaway reaction reacting for its mitigation.</t>
  </si>
  <si>
    <t>P3</t>
  </si>
  <si>
    <t>Demonstrate punctuality and attentive demeanor as an individual or in a team during the lab conduct to improve productivity and meet deadlines.</t>
  </si>
  <si>
    <t>Execute the reactor startup procedures by applying appropriate conditions and trace the concentration-time data with precision.</t>
  </si>
  <si>
    <t>Design chemical reactors for various industrial chemical problems.</t>
  </si>
  <si>
    <t>C-6</t>
  </si>
  <si>
    <t>Differentiate homogeneous and heterogeneous reactions, and modify the design parameters for reactor calculations.</t>
  </si>
  <si>
    <t>Apply design equations of ideal reactors to study their performance for homogenous single and multiple reactions.</t>
  </si>
  <si>
    <t>Comprehend the concepts of reaction engineering fundamentals</t>
  </si>
  <si>
    <t>Demonstrates responsible handling of control equipment and participates effectively in group-based experimentation and troubleshooting.</t>
  </si>
  <si>
    <t>PLO 8</t>
  </si>
  <si>
    <t>CHE-323 - Instrumentation &amp; Process Control</t>
  </si>
  <si>
    <t>Analyzes and interprets process response curves (time vs. level, pressure, etc.) in relation to control theory to evaluate performance of control strategies.</t>
  </si>
  <si>
    <t xml:space="preserve">Follows procedures to apply ON/OFF, PI, and PID control modes for achieving set points and accurately adjusts input parameters </t>
  </si>
  <si>
    <t>PLO 4</t>
  </si>
  <si>
    <t>Calibrates automatic process control sensors (flow, pressure, temperature, level) using manual instruments as reference standards.</t>
  </si>
  <si>
    <t>PLO 5</t>
  </si>
  <si>
    <t>Design and explain control loops for process variables, i.e., temperature, pressure, level, etc., of a given industrial process.</t>
  </si>
  <si>
    <t>Solve problems related to open/closed control loop systems</t>
  </si>
  <si>
    <t>Comprehend open/closed loop control systems based on the fundamentals of process dynamics</t>
  </si>
  <si>
    <t>Adjusts and operates experimental units such as evaporators, dryers, and extraction columns under supervision.</t>
  </si>
  <si>
    <t>CHE-349 - Separation Processes II</t>
  </si>
  <si>
    <t>Participate actively and responsibly in teamwork while conducting separation experiments and handling equipment.</t>
  </si>
  <si>
    <t>PLO-10</t>
  </si>
  <si>
    <t>Computes and analyze performance metrics (e.g., drying rate, extraction efficiency) from collected experimental data.</t>
  </si>
  <si>
    <t>Measures key process variables such as temperature, flow rate, and composition during operation of separation process equipment.</t>
  </si>
  <si>
    <t>Solve and analyze complex engineering problems pertaining to SHMT operation</t>
  </si>
  <si>
    <t>Describe the coupled heat and mass transfer equations and apply to design the process equipment’s.</t>
  </si>
  <si>
    <t>Comprehend the principles of simultaneous heat and mass transfer and extend their applications in chemical engineering processes theoretically as well as experimentally.</t>
  </si>
  <si>
    <t>Apply alternatives based on taxable income and market structure</t>
  </si>
  <si>
    <t>PLO-12</t>
  </si>
  <si>
    <t>ECO-130 - Engineering Economics</t>
  </si>
  <si>
    <t>Gain a working knowledge of money management and analyse how to make economics comparisons of alternative engineering projects</t>
  </si>
  <si>
    <t>PLO-11</t>
  </si>
  <si>
    <t>Comprehend the concepts of Engineering Economics</t>
  </si>
  <si>
    <t>Apply algorithms of data science and machine learning using Python</t>
  </si>
  <si>
    <t>CHE-465 - Data Science and Machine Learning in Chemical Engineering</t>
  </si>
  <si>
    <t>BE Chemical Engineering-22</t>
  </si>
  <si>
    <t>SCME/BCHMLE/2022F</t>
  </si>
  <si>
    <t>Use mathematical and statistical theory for decision-making and problem solution.</t>
  </si>
  <si>
    <t>Describe and apply the concepts of linear algebra, probability, and statistics used for data distributions.</t>
  </si>
  <si>
    <t>Devise the practical applications of the theories to human behavior in day-to-day life</t>
  </si>
  <si>
    <t>HU-115 - Principles of Sociology</t>
  </si>
  <si>
    <t>Comprehend the fundamental theories of sociology pertaining to human behaviors</t>
  </si>
  <si>
    <t>Analyze and design gas processing and purification operations.</t>
  </si>
  <si>
    <t>PLO-3</t>
  </si>
  <si>
    <t>CHE-484 - Natural Gas Engineering</t>
  </si>
  <si>
    <t>Comprehend the understanding of gas storage and transmission operations.</t>
  </si>
  <si>
    <t>Infer the basic knowledge about gas processing and gas drilling.</t>
  </si>
  <si>
    <t xml:space="preserve">Apply project management tools, techniques and inventory management methods </t>
  </si>
  <si>
    <t>OTM-456 - Production &amp; Operations Management</t>
  </si>
  <si>
    <t>Use of a variety of problem-solving and forecasting techniques to aid in effective decision making and quality control.</t>
  </si>
  <si>
    <t>Comprehend the process of transforming resources into products and development of its operational strategy.</t>
  </si>
  <si>
    <t>Relate the fundamental concepts of polymer engineering to study the techniques for the synthesis and processing of polymeric materials.</t>
  </si>
  <si>
    <t>CHE-360 - Fundamentals Of Polymer Engineering</t>
  </si>
  <si>
    <t>Explain the fundamentals of polymer engineering: polymer classification, rheology, colligative, thermal, and mechanical properties of the polymers.</t>
  </si>
  <si>
    <t>Explain the practical application of safety and risk management in process industry</t>
  </si>
  <si>
    <t>CHE-425 - Maintenance &amp; Process Safety</t>
  </si>
  <si>
    <t>Describe the key principles of process safety and maintenance of industrial operations</t>
  </si>
  <si>
    <t>Description</t>
  </si>
  <si>
    <t>Domain Level</t>
  </si>
  <si>
    <t>Emphasis Level</t>
  </si>
  <si>
    <t>PLO</t>
  </si>
  <si>
    <t>Scheme Line</t>
  </si>
  <si>
    <t>Study Scheme</t>
  </si>
  <si>
    <t>Program Batch</t>
  </si>
  <si>
    <t>CLO Code</t>
  </si>
  <si>
    <t>Course Title</t>
  </si>
  <si>
    <t>Course Code</t>
  </si>
  <si>
    <t>Enhancing their professional development and technical knowledge through continuing Education.</t>
  </si>
  <si>
    <t>Leading or participating in efforts to address societal and technical / business challenges</t>
  </si>
  <si>
    <t>Pursuing research and innovation and be able to provide industrial solutions for engineering and technical Problems</t>
  </si>
  <si>
    <t>Have strong competence in chemical engineering resulting in successful careers.</t>
  </si>
  <si>
    <t>PEO-1</t>
  </si>
  <si>
    <t>PEO-2</t>
  </si>
  <si>
    <t>PEO-3</t>
  </si>
  <si>
    <t>PEO-4</t>
  </si>
  <si>
    <t>PLO-7</t>
  </si>
  <si>
    <t>ENGINEERING KNOWLEDGE</t>
  </si>
  <si>
    <t>PROBLEM ANALYSIS</t>
  </si>
  <si>
    <t>DESIGN/DEVELOPMENT OF SOLUTIONS</t>
  </si>
  <si>
    <t>INVESTIGATION</t>
  </si>
  <si>
    <t>MODERN TOOL USAGE</t>
  </si>
  <si>
    <t>THE ENGINEER AND SOCIETY</t>
  </si>
  <si>
    <t>ENVIRONMENT AND SUSTAINABILITY</t>
  </si>
  <si>
    <t>ETHICS</t>
  </si>
  <si>
    <t>INDIVIDUAL AND TEAM WORK</t>
  </si>
  <si>
    <t>COMMUNICATION</t>
  </si>
  <si>
    <t>PROJECT MANAGEMENT</t>
  </si>
  <si>
    <t>LIFELONG LEARNING</t>
  </si>
  <si>
    <t>CH-113 - Inorganic &amp; Organic Chemistry</t>
  </si>
  <si>
    <t>Explain the fundamentals of organic and inorganic chemistry.</t>
  </si>
  <si>
    <t xml:space="preserve">Explain the chemical reactions involved in organic and inorganic synthesis. </t>
  </si>
  <si>
    <t>Apply organic or inorganic synthesis reactions in industrial applications</t>
  </si>
  <si>
    <t>Execute inorganic and organic chemistry laboratory procedures, including titration, salt analysis, recrystallization, liquid-liquid extraction, etc. and qualitative analysis by applying appropriate techniques and recording experimental data accurately.</t>
  </si>
  <si>
    <t>Demonstrate teamwork, punctuality, and professional laboratory conduct while performing experiments collaboratively and completing assigned tasks within the given time.</t>
  </si>
  <si>
    <t>Practice laboratory safety protocols by properly handling chemicals, glassware, and analytical instruments, while identifying and minimizing risks associated with toxic, corrosive, and flammable substances.</t>
  </si>
  <si>
    <t>Analyze and interpret experimental observations and calculated results from inorganic and organic chemistry experiments to compare theoretical concepts, identify discrepancies, and draw valid scientific conclusions.</t>
  </si>
  <si>
    <t>Comprehend the synthesis of a compound in specific chemical industry using basic principles of process flow</t>
  </si>
  <si>
    <t>Explains the interrelation of process variables and yield of desired product in a certain manufacturing process</t>
  </si>
  <si>
    <t>CHE-115 - Chemical Process Industries</t>
  </si>
  <si>
    <t>C--2</t>
  </si>
  <si>
    <t>C--3</t>
  </si>
  <si>
    <t>C--4</t>
  </si>
  <si>
    <t>QR-101 - Quantitative Reasoning-II</t>
  </si>
  <si>
    <t>Understanding of logic and logical reasoning</t>
  </si>
  <si>
    <t>Understanding of basic quantitative modeling and analyses</t>
  </si>
  <si>
    <t>Logical reasoning skills and abilities to apply them to solve quantitative problems and evaluate arguments</t>
  </si>
  <si>
    <t>Ability to critically evaluate quantitative information to make evidence  based decisions through appropriate computational tools</t>
  </si>
  <si>
    <t>CHE-220 - Mass Transfer</t>
  </si>
  <si>
    <t>Comprehend the basic concepts and theories of mass transfer to apply for process separation related problems</t>
  </si>
  <si>
    <t>Apply the knowledge of separation principles for basic design calculations related to gas-liquid absorption and distillation processes</t>
  </si>
  <si>
    <t>Solve and analyze engineering problems pertaining to mass transfer operation</t>
  </si>
  <si>
    <t>ME-124 - Engineering Drawing and Graphics</t>
  </si>
  <si>
    <t>Interpret basic components of engineering drawings and understanding the projection theory </t>
  </si>
  <si>
    <t>Analyse the hidden information in the drawings and breakdown in simpler single view projections </t>
  </si>
  <si>
    <t>P-5</t>
  </si>
  <si>
    <t>Display the ability to construct engineering drawings and models using computer aided drawing (CAD)</t>
  </si>
  <si>
    <t>HU-127 - Ideology and Constitution of Pakistan</t>
  </si>
  <si>
    <t>ENGL-101 - Expository Writing</t>
  </si>
  <si>
    <t>Understand research methods to locate and integrate credible sources into writing.</t>
  </si>
  <si>
    <t>Analyse the rhetorical situation and use effective writing strategies and techniques to persuade readers.</t>
  </si>
  <si>
    <t>HU-132 - Understanding of Quran-II</t>
  </si>
  <si>
    <t>Discuss and explain the meanings of the words of Quran, its phrases and sentences</t>
  </si>
  <si>
    <t>Explain the ideology of Pakistan with reference to contributions of the founding fathers of Pakistan</t>
  </si>
  <si>
    <t>Demonstrate fundamental knowledge about the Constitution of Pakistan 1973 and its evolutionary phases with reference to state structure. Effectively explain about the guiding principles on rights and responsibilities of Pakistani citizens as enshrined in the Constitution of Pakistan 1973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</si>
</sst>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023564-292C-47F3-82E1-D78443265CED}" name="Table1" displayName="Table1" ref="A1:J1048576" totalsRowShown="0">
  <autoFilter ref="A1:J1048576" xr:uid="{F1109AD2-03AB-4FEA-9D33-71C4D31876C3}"/>
  <sortState xmlns:xlrd2="http://schemas.microsoft.com/office/spreadsheetml/2017/richdata2" ref="A2:J1048576">
    <sortCondition ref="D1:D1048576"/>
  </sortState>
  <tableColumns count="10">
    <tableColumn id="2" xr3:uid="{AB937012-8DB0-4A4B-AF91-1A39C20FF0F8}" name="Course Code"/>
    <tableColumn id="3" xr3:uid="{D38FD4B1-DCAC-4037-AEF0-2BFD9D589545}" name="Course Title"/>
    <tableColumn id="4" xr3:uid="{668E955E-4DFE-47BE-94FE-D89916611F0C}" name="CLO Code"/>
    <tableColumn id="5" xr3:uid="{2D410A2D-87AD-410A-B901-F5C65B277033}" name="Program Batch"/>
    <tableColumn id="6" xr3:uid="{3159EC0B-424F-4AAC-9A8B-A569064B4FC3}" name="Study Scheme"/>
    <tableColumn id="7" xr3:uid="{F108AA97-23F4-4153-BB53-272BC0627F96}" name="Scheme Line"/>
    <tableColumn id="8" xr3:uid="{AB10F36E-126D-43CE-B746-2937DE92D026}" name="PLO"/>
    <tableColumn id="9" xr3:uid="{6D1D1A2E-E58C-4953-AFCE-1E9DAFFA10EB}" name="Emphasis Level"/>
    <tableColumn id="10" xr3:uid="{BC7A5B5B-11E5-46D4-86B5-048573BB4CCD}" name="Domain Level"/>
    <tableColumn id="11" xr3:uid="{19E13970-F661-4E37-A33B-5F579ED19F6B}"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EA14-4F77-426D-849C-B2E9B793F194}">
  <dimension ref="A1:J92"/>
  <sheetViews>
    <sheetView tabSelected="1" workbookViewId="0">
      <selection activeCell="D9" sqref="D9"/>
    </sheetView>
  </sheetViews>
  <sheetFormatPr defaultRowHeight="15" x14ac:dyDescent="0.25"/>
  <cols>
    <col min="1" max="1" width="15" customWidth="1"/>
    <col min="2" max="2" width="31" customWidth="1"/>
    <col min="3" max="3" width="12.28515625" customWidth="1"/>
    <col min="4" max="4" width="19.42578125" bestFit="1" customWidth="1"/>
    <col min="5" max="5" width="25.85546875" bestFit="1" customWidth="1"/>
    <col min="6" max="6" width="41" customWidth="1"/>
    <col min="8" max="8" width="17.140625" customWidth="1"/>
    <col min="9" max="9" width="15.42578125" customWidth="1"/>
    <col min="10" max="10" width="13.7109375" customWidth="1"/>
  </cols>
  <sheetData>
    <row r="1" spans="1:10" x14ac:dyDescent="0.25">
      <c r="A1" t="s">
        <v>134</v>
      </c>
      <c r="B1" t="s">
        <v>133</v>
      </c>
      <c r="C1" t="s">
        <v>132</v>
      </c>
      <c r="D1" t="s">
        <v>131</v>
      </c>
      <c r="E1" t="s">
        <v>130</v>
      </c>
      <c r="F1" t="s">
        <v>129</v>
      </c>
      <c r="G1" t="s">
        <v>128</v>
      </c>
      <c r="H1" t="s">
        <v>127</v>
      </c>
      <c r="I1" t="s">
        <v>126</v>
      </c>
      <c r="J1" t="s">
        <v>125</v>
      </c>
    </row>
    <row r="2" spans="1:10" x14ac:dyDescent="0.25">
      <c r="A2" t="str">
        <f>_xlfn.TEXTBEFORE(Table1[[#This Row],[Scheme Line]]," - ")</f>
        <v>CHE-425</v>
      </c>
      <c r="B2" t="str">
        <f>_xlfn.TEXTAFTER(Table1[[#This Row],[Scheme Line]]," - ")</f>
        <v>Maintenance &amp; Process Safety</v>
      </c>
      <c r="C2" t="s">
        <v>11</v>
      </c>
      <c r="D2" t="s">
        <v>104</v>
      </c>
      <c r="E2" t="s">
        <v>103</v>
      </c>
      <c r="F2" t="s">
        <v>123</v>
      </c>
      <c r="G2" t="s">
        <v>23</v>
      </c>
      <c r="H2" t="s">
        <v>50</v>
      </c>
      <c r="I2" t="s">
        <v>49</v>
      </c>
      <c r="J2" t="s">
        <v>124</v>
      </c>
    </row>
    <row r="3" spans="1:10" x14ac:dyDescent="0.25">
      <c r="A3" t="str">
        <f>_xlfn.TEXTBEFORE(Table1[[#This Row],[Scheme Line]]," - ")</f>
        <v>CHE-425</v>
      </c>
      <c r="B3" t="str">
        <f>_xlfn.TEXTAFTER(Table1[[#This Row],[Scheme Line]]," - ")</f>
        <v>Maintenance &amp; Process Safety</v>
      </c>
      <c r="C3" t="s">
        <v>9</v>
      </c>
      <c r="D3" t="s">
        <v>104</v>
      </c>
      <c r="E3" t="s">
        <v>103</v>
      </c>
      <c r="F3" t="s">
        <v>123</v>
      </c>
      <c r="G3" t="s">
        <v>23</v>
      </c>
      <c r="H3" t="s">
        <v>50</v>
      </c>
      <c r="I3" t="s">
        <v>49</v>
      </c>
      <c r="J3" t="s">
        <v>122</v>
      </c>
    </row>
    <row r="4" spans="1:10" x14ac:dyDescent="0.25">
      <c r="A4" t="str">
        <f>_xlfn.TEXTBEFORE(Table1[[#This Row],[Scheme Line]]," - ")</f>
        <v>CHE-360</v>
      </c>
      <c r="B4" t="str">
        <f>_xlfn.TEXTAFTER(Table1[[#This Row],[Scheme Line]]," - ")</f>
        <v>Fundamentals Of Polymer Engineering</v>
      </c>
      <c r="C4" t="s">
        <v>11</v>
      </c>
      <c r="D4" t="s">
        <v>104</v>
      </c>
      <c r="E4" t="s">
        <v>103</v>
      </c>
      <c r="F4" t="s">
        <v>120</v>
      </c>
      <c r="G4" t="s">
        <v>23</v>
      </c>
      <c r="H4" t="s">
        <v>50</v>
      </c>
      <c r="I4" t="s">
        <v>49</v>
      </c>
      <c r="J4" t="s">
        <v>121</v>
      </c>
    </row>
    <row r="5" spans="1:10" x14ac:dyDescent="0.25">
      <c r="A5" t="str">
        <f>_xlfn.TEXTBEFORE(Table1[[#This Row],[Scheme Line]]," - ")</f>
        <v>CHE-360</v>
      </c>
      <c r="B5" t="str">
        <f>_xlfn.TEXTAFTER(Table1[[#This Row],[Scheme Line]]," - ")</f>
        <v>Fundamentals Of Polymer Engineering</v>
      </c>
      <c r="C5" t="s">
        <v>9</v>
      </c>
      <c r="D5" t="s">
        <v>104</v>
      </c>
      <c r="E5" t="s">
        <v>103</v>
      </c>
      <c r="F5" t="s">
        <v>120</v>
      </c>
      <c r="G5" t="s">
        <v>23</v>
      </c>
      <c r="H5" t="s">
        <v>2</v>
      </c>
      <c r="I5" t="s">
        <v>34</v>
      </c>
      <c r="J5" t="s">
        <v>119</v>
      </c>
    </row>
    <row r="6" spans="1:10" x14ac:dyDescent="0.25">
      <c r="A6" t="str">
        <f>_xlfn.TEXTBEFORE(Table1[[#This Row],[Scheme Line]]," - ")</f>
        <v>OTM-456</v>
      </c>
      <c r="B6" t="str">
        <f>_xlfn.TEXTAFTER(Table1[[#This Row],[Scheme Line]]," - ")</f>
        <v>Production &amp; Operations Management</v>
      </c>
      <c r="C6" t="s">
        <v>11</v>
      </c>
      <c r="D6" t="s">
        <v>104</v>
      </c>
      <c r="E6" t="s">
        <v>103</v>
      </c>
      <c r="F6" t="s">
        <v>116</v>
      </c>
      <c r="G6" t="s">
        <v>96</v>
      </c>
      <c r="H6" t="s">
        <v>50</v>
      </c>
      <c r="I6" t="s">
        <v>167</v>
      </c>
      <c r="J6" t="s">
        <v>118</v>
      </c>
    </row>
    <row r="7" spans="1:10" x14ac:dyDescent="0.25">
      <c r="A7" t="str">
        <f>_xlfn.TEXTBEFORE(Table1[[#This Row],[Scheme Line]]," - ")</f>
        <v>OTM-456</v>
      </c>
      <c r="B7" t="str">
        <f>_xlfn.TEXTAFTER(Table1[[#This Row],[Scheme Line]]," - ")</f>
        <v>Production &amp; Operations Management</v>
      </c>
      <c r="C7" t="s">
        <v>9</v>
      </c>
      <c r="D7" t="s">
        <v>104</v>
      </c>
      <c r="E7" t="s">
        <v>103</v>
      </c>
      <c r="F7" t="s">
        <v>116</v>
      </c>
      <c r="G7" t="s">
        <v>96</v>
      </c>
      <c r="H7" t="s">
        <v>2</v>
      </c>
      <c r="I7" t="s">
        <v>168</v>
      </c>
      <c r="J7" t="s">
        <v>117</v>
      </c>
    </row>
    <row r="8" spans="1:10" x14ac:dyDescent="0.25">
      <c r="A8" t="str">
        <f>_xlfn.TEXTBEFORE(Table1[[#This Row],[Scheme Line]]," - ")</f>
        <v>OTM-456</v>
      </c>
      <c r="B8" t="str">
        <f>_xlfn.TEXTAFTER(Table1[[#This Row],[Scheme Line]]," - ")</f>
        <v>Production &amp; Operations Management</v>
      </c>
      <c r="C8" t="s">
        <v>7</v>
      </c>
      <c r="D8" t="s">
        <v>104</v>
      </c>
      <c r="E8" t="s">
        <v>103</v>
      </c>
      <c r="F8" t="s">
        <v>116</v>
      </c>
      <c r="G8" t="s">
        <v>99</v>
      </c>
      <c r="H8" t="s">
        <v>2</v>
      </c>
      <c r="I8" t="s">
        <v>169</v>
      </c>
      <c r="J8" t="s">
        <v>115</v>
      </c>
    </row>
    <row r="9" spans="1:10" x14ac:dyDescent="0.25">
      <c r="A9" t="str">
        <f>_xlfn.TEXTBEFORE(Table1[[#This Row],[Scheme Line]]," - ")</f>
        <v>CHE-484</v>
      </c>
      <c r="B9" t="str">
        <f>_xlfn.TEXTAFTER(Table1[[#This Row],[Scheme Line]]," - ")</f>
        <v>Natural Gas Engineering</v>
      </c>
      <c r="C9" t="s">
        <v>11</v>
      </c>
      <c r="D9" t="s">
        <v>104</v>
      </c>
      <c r="E9" t="s">
        <v>103</v>
      </c>
      <c r="F9" t="s">
        <v>112</v>
      </c>
      <c r="G9" t="s">
        <v>23</v>
      </c>
      <c r="H9" t="s">
        <v>50</v>
      </c>
      <c r="I9" t="s">
        <v>49</v>
      </c>
      <c r="J9" t="s">
        <v>114</v>
      </c>
    </row>
    <row r="10" spans="1:10" x14ac:dyDescent="0.25">
      <c r="A10" t="str">
        <f>_xlfn.TEXTBEFORE(Table1[[#This Row],[Scheme Line]]," - ")</f>
        <v>CHE-484</v>
      </c>
      <c r="B10" t="str">
        <f>_xlfn.TEXTAFTER(Table1[[#This Row],[Scheme Line]]," - ")</f>
        <v>Natural Gas Engineering</v>
      </c>
      <c r="C10" t="s">
        <v>9</v>
      </c>
      <c r="D10" t="s">
        <v>104</v>
      </c>
      <c r="E10" t="s">
        <v>103</v>
      </c>
      <c r="F10" t="s">
        <v>112</v>
      </c>
      <c r="G10" t="s">
        <v>3</v>
      </c>
      <c r="H10" t="s">
        <v>50</v>
      </c>
      <c r="I10" t="s">
        <v>49</v>
      </c>
      <c r="J10" t="s">
        <v>113</v>
      </c>
    </row>
    <row r="11" spans="1:10" x14ac:dyDescent="0.25">
      <c r="A11" t="str">
        <f>_xlfn.TEXTBEFORE(Table1[[#This Row],[Scheme Line]]," - ")</f>
        <v>CHE-484</v>
      </c>
      <c r="B11" t="str">
        <f>_xlfn.TEXTAFTER(Table1[[#This Row],[Scheme Line]]," - ")</f>
        <v>Natural Gas Engineering</v>
      </c>
      <c r="C11" t="s">
        <v>7</v>
      </c>
      <c r="D11" t="s">
        <v>104</v>
      </c>
      <c r="E11" t="s">
        <v>103</v>
      </c>
      <c r="F11" t="s">
        <v>112</v>
      </c>
      <c r="G11" t="s">
        <v>111</v>
      </c>
      <c r="H11" t="s">
        <v>2</v>
      </c>
      <c r="I11" t="s">
        <v>34</v>
      </c>
      <c r="J11" t="s">
        <v>110</v>
      </c>
    </row>
    <row r="12" spans="1:10" x14ac:dyDescent="0.25">
      <c r="A12" t="str">
        <f>_xlfn.TEXTBEFORE(Table1[[#This Row],[Scheme Line]]," - ")</f>
        <v>HU-115</v>
      </c>
      <c r="B12" t="str">
        <f>_xlfn.TEXTAFTER(Table1[[#This Row],[Scheme Line]]," - ")</f>
        <v>Principles of Sociology</v>
      </c>
      <c r="C12" t="s">
        <v>11</v>
      </c>
      <c r="D12" t="s">
        <v>104</v>
      </c>
      <c r="E12" t="s">
        <v>103</v>
      </c>
      <c r="F12" t="s">
        <v>108</v>
      </c>
      <c r="G12" t="s">
        <v>43</v>
      </c>
      <c r="H12" t="s">
        <v>50</v>
      </c>
      <c r="I12" t="s">
        <v>49</v>
      </c>
      <c r="J12" t="s">
        <v>109</v>
      </c>
    </row>
    <row r="13" spans="1:10" x14ac:dyDescent="0.25">
      <c r="A13" t="str">
        <f>_xlfn.TEXTBEFORE(Table1[[#This Row],[Scheme Line]]," - ")</f>
        <v>HU-115</v>
      </c>
      <c r="B13" t="str">
        <f>_xlfn.TEXTAFTER(Table1[[#This Row],[Scheme Line]]," - ")</f>
        <v>Principles of Sociology</v>
      </c>
      <c r="C13" t="s">
        <v>9</v>
      </c>
      <c r="D13" t="s">
        <v>104</v>
      </c>
      <c r="E13" t="s">
        <v>103</v>
      </c>
      <c r="F13" t="s">
        <v>108</v>
      </c>
      <c r="G13" t="s">
        <v>96</v>
      </c>
      <c r="H13" t="s">
        <v>57</v>
      </c>
      <c r="I13" t="s">
        <v>71</v>
      </c>
      <c r="J13" t="s">
        <v>107</v>
      </c>
    </row>
    <row r="14" spans="1:10" x14ac:dyDescent="0.25">
      <c r="A14" t="str">
        <f>_xlfn.TEXTBEFORE(Table1[[#This Row],[Scheme Line]]," - ")</f>
        <v>CHE-465</v>
      </c>
      <c r="B14" t="str">
        <f>_xlfn.TEXTAFTER(Table1[[#This Row],[Scheme Line]]," - ")</f>
        <v>Data Science and Machine Learning in Chemical Engineering</v>
      </c>
      <c r="C14" t="s">
        <v>11</v>
      </c>
      <c r="D14" t="s">
        <v>104</v>
      </c>
      <c r="E14" t="s">
        <v>103</v>
      </c>
      <c r="F14" t="s">
        <v>102</v>
      </c>
      <c r="G14" t="s">
        <v>3</v>
      </c>
      <c r="H14" t="s">
        <v>2</v>
      </c>
      <c r="I14" t="s">
        <v>1</v>
      </c>
      <c r="J14" t="s">
        <v>106</v>
      </c>
    </row>
    <row r="15" spans="1:10" x14ac:dyDescent="0.25">
      <c r="A15" t="str">
        <f>_xlfn.TEXTBEFORE(Table1[[#This Row],[Scheme Line]]," - ")</f>
        <v>CHE-465</v>
      </c>
      <c r="B15" t="str">
        <f>_xlfn.TEXTAFTER(Table1[[#This Row],[Scheme Line]]," - ")</f>
        <v>Data Science and Machine Learning in Chemical Engineering</v>
      </c>
      <c r="C15" t="s">
        <v>9</v>
      </c>
      <c r="D15" t="s">
        <v>104</v>
      </c>
      <c r="E15" t="s">
        <v>103</v>
      </c>
      <c r="F15" t="s">
        <v>102</v>
      </c>
      <c r="G15" t="s">
        <v>3</v>
      </c>
      <c r="H15" t="s">
        <v>2</v>
      </c>
      <c r="I15" t="s">
        <v>1</v>
      </c>
      <c r="J15" t="s">
        <v>105</v>
      </c>
    </row>
    <row r="16" spans="1:10" x14ac:dyDescent="0.25">
      <c r="A16" t="str">
        <f>_xlfn.TEXTBEFORE(Table1[[#This Row],[Scheme Line]]," - ")</f>
        <v>CHE-465</v>
      </c>
      <c r="B16" t="str">
        <f>_xlfn.TEXTAFTER(Table1[[#This Row],[Scheme Line]]," - ")</f>
        <v>Data Science and Machine Learning in Chemical Engineering</v>
      </c>
      <c r="C16" t="s">
        <v>7</v>
      </c>
      <c r="D16" t="s">
        <v>104</v>
      </c>
      <c r="E16" t="s">
        <v>103</v>
      </c>
      <c r="F16" t="s">
        <v>102</v>
      </c>
      <c r="G16" t="s">
        <v>14</v>
      </c>
      <c r="H16" t="s">
        <v>2</v>
      </c>
      <c r="I16" t="s">
        <v>1</v>
      </c>
      <c r="J16" t="s">
        <v>101</v>
      </c>
    </row>
    <row r="17" spans="1:10" x14ac:dyDescent="0.25">
      <c r="A17" t="str">
        <f>_xlfn.TEXTBEFORE(Table1[[#This Row],[Scheme Line]]," - ")</f>
        <v>ECO-130</v>
      </c>
      <c r="B17" t="str">
        <f>_xlfn.TEXTAFTER(Table1[[#This Row],[Scheme Line]]," - ")</f>
        <v>Engineering Economics</v>
      </c>
      <c r="C17" t="s">
        <v>11</v>
      </c>
      <c r="D17" t="s">
        <v>60</v>
      </c>
      <c r="E17" t="s">
        <v>59</v>
      </c>
      <c r="F17" t="s">
        <v>97</v>
      </c>
      <c r="G17" t="s">
        <v>3</v>
      </c>
      <c r="H17" t="s">
        <v>2</v>
      </c>
      <c r="I17" t="s">
        <v>1</v>
      </c>
      <c r="J17" t="s">
        <v>100</v>
      </c>
    </row>
    <row r="18" spans="1:10" x14ac:dyDescent="0.25">
      <c r="A18" t="str">
        <f>_xlfn.TEXTBEFORE(Table1[[#This Row],[Scheme Line]]," - ")</f>
        <v>ECO-130</v>
      </c>
      <c r="B18" t="str">
        <f>_xlfn.TEXTAFTER(Table1[[#This Row],[Scheme Line]]," - ")</f>
        <v>Engineering Economics</v>
      </c>
      <c r="C18" t="s">
        <v>9</v>
      </c>
      <c r="D18" t="s">
        <v>60</v>
      </c>
      <c r="E18" t="s">
        <v>59</v>
      </c>
      <c r="F18" t="s">
        <v>97</v>
      </c>
      <c r="G18" t="s">
        <v>99</v>
      </c>
      <c r="H18" t="s">
        <v>2</v>
      </c>
      <c r="I18" t="s">
        <v>34</v>
      </c>
      <c r="J18" t="s">
        <v>98</v>
      </c>
    </row>
    <row r="19" spans="1:10" x14ac:dyDescent="0.25">
      <c r="A19" t="str">
        <f>_xlfn.TEXTBEFORE(Table1[[#This Row],[Scheme Line]]," - ")</f>
        <v>ECO-130</v>
      </c>
      <c r="B19" t="str">
        <f>_xlfn.TEXTAFTER(Table1[[#This Row],[Scheme Line]]," - ")</f>
        <v>Engineering Economics</v>
      </c>
      <c r="C19" t="s">
        <v>7</v>
      </c>
      <c r="D19" t="s">
        <v>60</v>
      </c>
      <c r="E19" t="s">
        <v>59</v>
      </c>
      <c r="F19" t="s">
        <v>97</v>
      </c>
      <c r="G19" t="s">
        <v>96</v>
      </c>
      <c r="H19" t="s">
        <v>2</v>
      </c>
      <c r="I19" t="s">
        <v>1</v>
      </c>
      <c r="J19" t="s">
        <v>95</v>
      </c>
    </row>
    <row r="20" spans="1:10" x14ac:dyDescent="0.25">
      <c r="A20" t="str">
        <f>_xlfn.TEXTBEFORE(Table1[[#This Row],[Scheme Line]]," - ")</f>
        <v>CHE-349</v>
      </c>
      <c r="B20" t="str">
        <f>_xlfn.TEXTAFTER(Table1[[#This Row],[Scheme Line]]," - ")</f>
        <v>Separation Processes II</v>
      </c>
      <c r="C20" t="s">
        <v>11</v>
      </c>
      <c r="D20" t="s">
        <v>60</v>
      </c>
      <c r="E20" t="s">
        <v>59</v>
      </c>
      <c r="F20" t="s">
        <v>87</v>
      </c>
      <c r="G20" t="s">
        <v>23</v>
      </c>
      <c r="H20" t="s">
        <v>50</v>
      </c>
      <c r="I20" t="s">
        <v>49</v>
      </c>
      <c r="J20" t="s">
        <v>94</v>
      </c>
    </row>
    <row r="21" spans="1:10" x14ac:dyDescent="0.25">
      <c r="A21" t="str">
        <f>_xlfn.TEXTBEFORE(Table1[[#This Row],[Scheme Line]]," - ")</f>
        <v>CHE-349</v>
      </c>
      <c r="B21" t="str">
        <f>_xlfn.TEXTAFTER(Table1[[#This Row],[Scheme Line]]," - ")</f>
        <v>Separation Processes II</v>
      </c>
      <c r="C21" t="s">
        <v>9</v>
      </c>
      <c r="D21" t="s">
        <v>60</v>
      </c>
      <c r="E21" t="s">
        <v>59</v>
      </c>
      <c r="F21" t="s">
        <v>87</v>
      </c>
      <c r="G21" t="s">
        <v>3</v>
      </c>
      <c r="H21" t="s">
        <v>2</v>
      </c>
      <c r="I21" t="s">
        <v>1</v>
      </c>
      <c r="J21" t="s">
        <v>93</v>
      </c>
    </row>
    <row r="22" spans="1:10" x14ac:dyDescent="0.25">
      <c r="A22" t="str">
        <f>_xlfn.TEXTBEFORE(Table1[[#This Row],[Scheme Line]]," - ")</f>
        <v>CHE-349</v>
      </c>
      <c r="B22" t="str">
        <f>_xlfn.TEXTAFTER(Table1[[#This Row],[Scheme Line]]," - ")</f>
        <v>Separation Processes II</v>
      </c>
      <c r="C22" t="s">
        <v>7</v>
      </c>
      <c r="D22" t="s">
        <v>60</v>
      </c>
      <c r="E22" t="s">
        <v>59</v>
      </c>
      <c r="F22" t="s">
        <v>87</v>
      </c>
      <c r="G22" t="s">
        <v>35</v>
      </c>
      <c r="H22" t="s">
        <v>2</v>
      </c>
      <c r="I22" t="s">
        <v>34</v>
      </c>
      <c r="J22" t="s">
        <v>92</v>
      </c>
    </row>
    <row r="23" spans="1:10" x14ac:dyDescent="0.25">
      <c r="A23" t="str">
        <f>_xlfn.TEXTBEFORE(Table1[[#This Row],[Scheme Line]]," - ")</f>
        <v>CHE-349</v>
      </c>
      <c r="B23" t="str">
        <f>_xlfn.TEXTAFTER(Table1[[#This Row],[Scheme Line]]," - ")</f>
        <v>Separation Processes II</v>
      </c>
      <c r="C23" t="s">
        <v>20</v>
      </c>
      <c r="D23" t="s">
        <v>60</v>
      </c>
      <c r="E23" t="s">
        <v>59</v>
      </c>
      <c r="F23" t="s">
        <v>87</v>
      </c>
      <c r="G23" t="s">
        <v>14</v>
      </c>
      <c r="H23" t="s">
        <v>2</v>
      </c>
      <c r="I23" t="s">
        <v>32</v>
      </c>
      <c r="J23" t="s">
        <v>91</v>
      </c>
    </row>
    <row r="24" spans="1:10" x14ac:dyDescent="0.25">
      <c r="A24" t="str">
        <f>_xlfn.TEXTBEFORE(Table1[[#This Row],[Scheme Line]]," - ")</f>
        <v>CHE-349</v>
      </c>
      <c r="B24" t="str">
        <f>_xlfn.TEXTAFTER(Table1[[#This Row],[Scheme Line]]," - ")</f>
        <v>Separation Processes II</v>
      </c>
      <c r="C24" t="s">
        <v>16</v>
      </c>
      <c r="D24" t="s">
        <v>60</v>
      </c>
      <c r="E24" t="s">
        <v>59</v>
      </c>
      <c r="F24" t="s">
        <v>87</v>
      </c>
      <c r="G24" t="s">
        <v>3</v>
      </c>
      <c r="H24" t="s">
        <v>2</v>
      </c>
      <c r="I24" t="s">
        <v>34</v>
      </c>
      <c r="J24" t="s">
        <v>90</v>
      </c>
    </row>
    <row r="25" spans="1:10" x14ac:dyDescent="0.25">
      <c r="A25" t="str">
        <f>_xlfn.TEXTBEFORE(Table1[[#This Row],[Scheme Line]]," - ")</f>
        <v>CHE-349</v>
      </c>
      <c r="B25" t="str">
        <f>_xlfn.TEXTAFTER(Table1[[#This Row],[Scheme Line]]," - ")</f>
        <v>Separation Processes II</v>
      </c>
      <c r="C25" t="s">
        <v>30</v>
      </c>
      <c r="D25" t="s">
        <v>60</v>
      </c>
      <c r="E25" t="s">
        <v>59</v>
      </c>
      <c r="F25" t="s">
        <v>87</v>
      </c>
      <c r="G25" t="s">
        <v>89</v>
      </c>
      <c r="H25" t="s">
        <v>2</v>
      </c>
      <c r="I25" t="s">
        <v>18</v>
      </c>
      <c r="J25" t="s">
        <v>88</v>
      </c>
    </row>
    <row r="26" spans="1:10" x14ac:dyDescent="0.25">
      <c r="A26" t="str">
        <f>_xlfn.TEXTBEFORE(Table1[[#This Row],[Scheme Line]]," - ")</f>
        <v>CHE-349</v>
      </c>
      <c r="B26" t="str">
        <f>_xlfn.TEXTAFTER(Table1[[#This Row],[Scheme Line]]," - ")</f>
        <v>Separation Processes II</v>
      </c>
      <c r="C26" t="s">
        <v>41</v>
      </c>
      <c r="D26" t="s">
        <v>60</v>
      </c>
      <c r="E26" t="s">
        <v>59</v>
      </c>
      <c r="F26" t="s">
        <v>87</v>
      </c>
      <c r="G26" t="s">
        <v>14</v>
      </c>
      <c r="H26" t="s">
        <v>2</v>
      </c>
      <c r="I26" t="s">
        <v>13</v>
      </c>
      <c r="J26" t="s">
        <v>86</v>
      </c>
    </row>
    <row r="27" spans="1:10" x14ac:dyDescent="0.25">
      <c r="A27" t="str">
        <f>_xlfn.TEXTBEFORE(Table1[[#This Row],[Scheme Line]]," - ")</f>
        <v>CHE-323</v>
      </c>
      <c r="B27" t="str">
        <f>_xlfn.TEXTAFTER(Table1[[#This Row],[Scheme Line]]," - ")</f>
        <v>Instrumentation &amp; Process Control</v>
      </c>
      <c r="C27" t="s">
        <v>11</v>
      </c>
      <c r="D27" t="s">
        <v>60</v>
      </c>
      <c r="E27" t="s">
        <v>59</v>
      </c>
      <c r="F27" t="s">
        <v>77</v>
      </c>
      <c r="G27" t="s">
        <v>23</v>
      </c>
      <c r="H27" t="s">
        <v>50</v>
      </c>
      <c r="I27" t="s">
        <v>49</v>
      </c>
      <c r="J27" t="s">
        <v>85</v>
      </c>
    </row>
    <row r="28" spans="1:10" x14ac:dyDescent="0.25">
      <c r="A28" t="str">
        <f>_xlfn.TEXTBEFORE(Table1[[#This Row],[Scheme Line]]," - ")</f>
        <v>CHE-323</v>
      </c>
      <c r="B28" t="str">
        <f>_xlfn.TEXTAFTER(Table1[[#This Row],[Scheme Line]]," - ")</f>
        <v>Instrumentation &amp; Process Control</v>
      </c>
      <c r="C28" t="s">
        <v>9</v>
      </c>
      <c r="D28" t="s">
        <v>60</v>
      </c>
      <c r="E28" t="s">
        <v>59</v>
      </c>
      <c r="F28" t="s">
        <v>77</v>
      </c>
      <c r="G28" t="s">
        <v>3</v>
      </c>
      <c r="H28" t="s">
        <v>2</v>
      </c>
      <c r="I28" t="s">
        <v>1</v>
      </c>
      <c r="J28" t="s">
        <v>84</v>
      </c>
    </row>
    <row r="29" spans="1:10" x14ac:dyDescent="0.25">
      <c r="A29" t="str">
        <f>_xlfn.TEXTBEFORE(Table1[[#This Row],[Scheme Line]]," - ")</f>
        <v>CHE-323</v>
      </c>
      <c r="B29" t="str">
        <f>_xlfn.TEXTAFTER(Table1[[#This Row],[Scheme Line]]," - ")</f>
        <v>Instrumentation &amp; Process Control</v>
      </c>
      <c r="C29" t="s">
        <v>7</v>
      </c>
      <c r="D29" t="s">
        <v>60</v>
      </c>
      <c r="E29" t="s">
        <v>59</v>
      </c>
      <c r="F29" t="s">
        <v>77</v>
      </c>
      <c r="G29" t="s">
        <v>35</v>
      </c>
      <c r="H29" t="s">
        <v>57</v>
      </c>
      <c r="I29" t="s">
        <v>71</v>
      </c>
      <c r="J29" t="s">
        <v>83</v>
      </c>
    </row>
    <row r="30" spans="1:10" x14ac:dyDescent="0.25">
      <c r="A30" t="str">
        <f>_xlfn.TEXTBEFORE(Table1[[#This Row],[Scheme Line]]," - ")</f>
        <v>CHE-323</v>
      </c>
      <c r="B30" t="str">
        <f>_xlfn.TEXTAFTER(Table1[[#This Row],[Scheme Line]]," - ")</f>
        <v>Instrumentation &amp; Process Control</v>
      </c>
      <c r="C30" t="s">
        <v>20</v>
      </c>
      <c r="D30" t="s">
        <v>60</v>
      </c>
      <c r="E30" t="s">
        <v>59</v>
      </c>
      <c r="F30" t="s">
        <v>77</v>
      </c>
      <c r="G30" t="s">
        <v>82</v>
      </c>
      <c r="H30" t="s">
        <v>2</v>
      </c>
      <c r="I30" t="s">
        <v>32</v>
      </c>
      <c r="J30" t="s">
        <v>81</v>
      </c>
    </row>
    <row r="31" spans="1:10" x14ac:dyDescent="0.25">
      <c r="A31" t="str">
        <f>_xlfn.TEXTBEFORE(Table1[[#This Row],[Scheme Line]]," - ")</f>
        <v>CHE-323</v>
      </c>
      <c r="B31" t="str">
        <f>_xlfn.TEXTAFTER(Table1[[#This Row],[Scheme Line]]," - ")</f>
        <v>Instrumentation &amp; Process Control</v>
      </c>
      <c r="C31" t="s">
        <v>16</v>
      </c>
      <c r="D31" t="s">
        <v>60</v>
      </c>
      <c r="E31" t="s">
        <v>59</v>
      </c>
      <c r="F31" t="s">
        <v>77</v>
      </c>
      <c r="G31" t="s">
        <v>80</v>
      </c>
      <c r="H31" t="s">
        <v>2</v>
      </c>
      <c r="I31" t="s">
        <v>13</v>
      </c>
      <c r="J31" t="s">
        <v>79</v>
      </c>
    </row>
    <row r="32" spans="1:10" x14ac:dyDescent="0.25">
      <c r="A32" t="str">
        <f>_xlfn.TEXTBEFORE(Table1[[#This Row],[Scheme Line]]," - ")</f>
        <v>CHE-323</v>
      </c>
      <c r="B32" t="str">
        <f>_xlfn.TEXTAFTER(Table1[[#This Row],[Scheme Line]]," - ")</f>
        <v>Instrumentation &amp; Process Control</v>
      </c>
      <c r="C32" t="s">
        <v>30</v>
      </c>
      <c r="D32" t="s">
        <v>60</v>
      </c>
      <c r="E32" t="s">
        <v>59</v>
      </c>
      <c r="F32" t="s">
        <v>77</v>
      </c>
      <c r="G32" t="s">
        <v>76</v>
      </c>
      <c r="H32" t="s">
        <v>2</v>
      </c>
      <c r="I32" t="s">
        <v>34</v>
      </c>
      <c r="J32" t="s">
        <v>78</v>
      </c>
    </row>
    <row r="33" spans="1:10" x14ac:dyDescent="0.25">
      <c r="A33" t="str">
        <f>_xlfn.TEXTBEFORE(Table1[[#This Row],[Scheme Line]]," - ")</f>
        <v>CHE-323</v>
      </c>
      <c r="B33" t="str">
        <f>_xlfn.TEXTAFTER(Table1[[#This Row],[Scheme Line]]," - ")</f>
        <v>Instrumentation &amp; Process Control</v>
      </c>
      <c r="C33" t="s">
        <v>41</v>
      </c>
      <c r="D33" t="s">
        <v>60</v>
      </c>
      <c r="E33" t="s">
        <v>59</v>
      </c>
      <c r="F33" t="s">
        <v>77</v>
      </c>
      <c r="G33" t="s">
        <v>76</v>
      </c>
      <c r="H33" t="s">
        <v>2</v>
      </c>
      <c r="I33" t="s">
        <v>18</v>
      </c>
      <c r="J33" t="s">
        <v>75</v>
      </c>
    </row>
    <row r="34" spans="1:10" x14ac:dyDescent="0.25">
      <c r="A34" t="str">
        <f>_xlfn.TEXTBEFORE(Table1[[#This Row],[Scheme Line]]," - ")</f>
        <v>CHE-347</v>
      </c>
      <c r="B34" t="str">
        <f>_xlfn.TEXTAFTER(Table1[[#This Row],[Scheme Line]]," - ")</f>
        <v>Chemical Reaction Engineering</v>
      </c>
      <c r="C34" t="s">
        <v>11</v>
      </c>
      <c r="D34" t="s">
        <v>60</v>
      </c>
      <c r="E34" t="s">
        <v>59</v>
      </c>
      <c r="F34" t="s">
        <v>64</v>
      </c>
      <c r="G34" t="s">
        <v>23</v>
      </c>
      <c r="H34" t="s">
        <v>50</v>
      </c>
      <c r="I34" t="s">
        <v>49</v>
      </c>
      <c r="J34" t="s">
        <v>74</v>
      </c>
    </row>
    <row r="35" spans="1:10" x14ac:dyDescent="0.25">
      <c r="A35" t="str">
        <f>_xlfn.TEXTBEFORE(Table1[[#This Row],[Scheme Line]]," - ")</f>
        <v>CHE-347</v>
      </c>
      <c r="B35" t="str">
        <f>_xlfn.TEXTAFTER(Table1[[#This Row],[Scheme Line]]," - ")</f>
        <v>Chemical Reaction Engineering</v>
      </c>
      <c r="C35" t="s">
        <v>9</v>
      </c>
      <c r="D35" t="s">
        <v>60</v>
      </c>
      <c r="E35" t="s">
        <v>59</v>
      </c>
      <c r="F35" t="s">
        <v>64</v>
      </c>
      <c r="G35" t="s">
        <v>23</v>
      </c>
      <c r="H35" t="s">
        <v>2</v>
      </c>
      <c r="I35" t="s">
        <v>1</v>
      </c>
      <c r="J35" t="s">
        <v>73</v>
      </c>
    </row>
    <row r="36" spans="1:10" x14ac:dyDescent="0.25">
      <c r="A36" t="str">
        <f>_xlfn.TEXTBEFORE(Table1[[#This Row],[Scheme Line]]," - ")</f>
        <v>CHE-347</v>
      </c>
      <c r="B36" t="str">
        <f>_xlfn.TEXTAFTER(Table1[[#This Row],[Scheme Line]]," - ")</f>
        <v>Chemical Reaction Engineering</v>
      </c>
      <c r="C36" t="s">
        <v>7</v>
      </c>
      <c r="D36" t="s">
        <v>60</v>
      </c>
      <c r="E36" t="s">
        <v>59</v>
      </c>
      <c r="F36" t="s">
        <v>64</v>
      </c>
      <c r="G36" t="s">
        <v>3</v>
      </c>
      <c r="H36" t="s">
        <v>2</v>
      </c>
      <c r="I36" t="s">
        <v>34</v>
      </c>
      <c r="J36" t="s">
        <v>72</v>
      </c>
    </row>
    <row r="37" spans="1:10" x14ac:dyDescent="0.25">
      <c r="A37" t="str">
        <f>_xlfn.TEXTBEFORE(Table1[[#This Row],[Scheme Line]]," - ")</f>
        <v>CHE-347</v>
      </c>
      <c r="B37" t="str">
        <f>_xlfn.TEXTAFTER(Table1[[#This Row],[Scheme Line]]," - ")</f>
        <v>Chemical Reaction Engineering</v>
      </c>
      <c r="C37" t="s">
        <v>20</v>
      </c>
      <c r="D37" t="s">
        <v>60</v>
      </c>
      <c r="E37" t="s">
        <v>59</v>
      </c>
      <c r="F37" t="s">
        <v>64</v>
      </c>
      <c r="G37" t="s">
        <v>35</v>
      </c>
      <c r="H37" t="s">
        <v>57</v>
      </c>
      <c r="I37" t="s">
        <v>71</v>
      </c>
      <c r="J37" t="s">
        <v>70</v>
      </c>
    </row>
    <row r="38" spans="1:10" x14ac:dyDescent="0.25">
      <c r="A38" t="str">
        <f>_xlfn.TEXTBEFORE(Table1[[#This Row],[Scheme Line]]," - ")</f>
        <v>CHE-347</v>
      </c>
      <c r="B38" t="str">
        <f>_xlfn.TEXTAFTER(Table1[[#This Row],[Scheme Line]]," - ")</f>
        <v>Chemical Reaction Engineering</v>
      </c>
      <c r="C38" t="s">
        <v>16</v>
      </c>
      <c r="D38" t="s">
        <v>60</v>
      </c>
      <c r="E38" t="s">
        <v>59</v>
      </c>
      <c r="F38" t="s">
        <v>64</v>
      </c>
      <c r="G38" t="s">
        <v>35</v>
      </c>
      <c r="H38" t="s">
        <v>2</v>
      </c>
      <c r="I38" t="s">
        <v>32</v>
      </c>
      <c r="J38" t="s">
        <v>69</v>
      </c>
    </row>
    <row r="39" spans="1:10" x14ac:dyDescent="0.25">
      <c r="A39" t="str">
        <f>_xlfn.TEXTBEFORE(Table1[[#This Row],[Scheme Line]]," - ")</f>
        <v>CHE-347</v>
      </c>
      <c r="B39" t="str">
        <f>_xlfn.TEXTAFTER(Table1[[#This Row],[Scheme Line]]," - ")</f>
        <v>Chemical Reaction Engineering</v>
      </c>
      <c r="C39" t="s">
        <v>30</v>
      </c>
      <c r="D39" t="s">
        <v>60</v>
      </c>
      <c r="E39" t="s">
        <v>59</v>
      </c>
      <c r="F39" t="s">
        <v>64</v>
      </c>
      <c r="G39" t="s">
        <v>19</v>
      </c>
      <c r="H39" t="s">
        <v>2</v>
      </c>
      <c r="I39" t="s">
        <v>18</v>
      </c>
      <c r="J39" t="s">
        <v>68</v>
      </c>
    </row>
    <row r="40" spans="1:10" x14ac:dyDescent="0.25">
      <c r="A40" t="str">
        <f>_xlfn.TEXTBEFORE(Table1[[#This Row],[Scheme Line]]," - ")</f>
        <v>CHE-347</v>
      </c>
      <c r="B40" t="str">
        <f>_xlfn.TEXTAFTER(Table1[[#This Row],[Scheme Line]]," - ")</f>
        <v>Chemical Reaction Engineering</v>
      </c>
      <c r="C40" t="s">
        <v>41</v>
      </c>
      <c r="D40" t="s">
        <v>60</v>
      </c>
      <c r="E40" t="s">
        <v>59</v>
      </c>
      <c r="F40" t="s">
        <v>64</v>
      </c>
      <c r="G40" t="s">
        <v>43</v>
      </c>
      <c r="H40" t="s">
        <v>2</v>
      </c>
      <c r="I40" t="s">
        <v>67</v>
      </c>
      <c r="J40" t="s">
        <v>66</v>
      </c>
    </row>
    <row r="41" spans="1:10" x14ac:dyDescent="0.25">
      <c r="A41" t="str">
        <f>_xlfn.TEXTBEFORE(Table1[[#This Row],[Scheme Line]]," - ")</f>
        <v>CHE-347</v>
      </c>
      <c r="B41" t="str">
        <f>_xlfn.TEXTAFTER(Table1[[#This Row],[Scheme Line]]," - ")</f>
        <v>Chemical Reaction Engineering</v>
      </c>
      <c r="C41" t="s">
        <v>65</v>
      </c>
      <c r="D41" t="s">
        <v>60</v>
      </c>
      <c r="E41" t="s">
        <v>59</v>
      </c>
      <c r="F41" t="s">
        <v>64</v>
      </c>
      <c r="G41" t="s">
        <v>35</v>
      </c>
      <c r="H41" t="s">
        <v>2</v>
      </c>
      <c r="I41" t="s">
        <v>63</v>
      </c>
      <c r="J41" t="s">
        <v>39</v>
      </c>
    </row>
    <row r="42" spans="1:10" x14ac:dyDescent="0.25">
      <c r="A42" t="str">
        <f>_xlfn.TEXTBEFORE(Table1[[#This Row],[Scheme Line]]," - ")</f>
        <v>CHE-345</v>
      </c>
      <c r="B42" t="str">
        <f>_xlfn.TEXTAFTER(Table1[[#This Row],[Scheme Line]]," - ")</f>
        <v>Transport Phenomena</v>
      </c>
      <c r="C42" t="s">
        <v>11</v>
      </c>
      <c r="D42" t="s">
        <v>60</v>
      </c>
      <c r="E42" t="s">
        <v>59</v>
      </c>
      <c r="F42" t="s">
        <v>58</v>
      </c>
      <c r="G42" t="s">
        <v>23</v>
      </c>
      <c r="H42" t="s">
        <v>2</v>
      </c>
      <c r="I42" t="s">
        <v>1</v>
      </c>
      <c r="J42" t="s">
        <v>62</v>
      </c>
    </row>
    <row r="43" spans="1:10" x14ac:dyDescent="0.25">
      <c r="A43" t="str">
        <f>_xlfn.TEXTBEFORE(Table1[[#This Row],[Scheme Line]]," - ")</f>
        <v>CHE-345</v>
      </c>
      <c r="B43" t="str">
        <f>_xlfn.TEXTAFTER(Table1[[#This Row],[Scheme Line]]," - ")</f>
        <v>Transport Phenomena</v>
      </c>
      <c r="C43" t="s">
        <v>9</v>
      </c>
      <c r="D43" t="s">
        <v>60</v>
      </c>
      <c r="E43" t="s">
        <v>59</v>
      </c>
      <c r="F43" t="s">
        <v>58</v>
      </c>
      <c r="G43" t="s">
        <v>3</v>
      </c>
      <c r="H43" t="s">
        <v>2</v>
      </c>
      <c r="I43" t="s">
        <v>34</v>
      </c>
      <c r="J43" t="s">
        <v>61</v>
      </c>
    </row>
    <row r="44" spans="1:10" x14ac:dyDescent="0.25">
      <c r="A44" t="str">
        <f>_xlfn.TEXTBEFORE(Table1[[#This Row],[Scheme Line]]," - ")</f>
        <v>CHE-345</v>
      </c>
      <c r="B44" t="str">
        <f>_xlfn.TEXTAFTER(Table1[[#This Row],[Scheme Line]]," - ")</f>
        <v>Transport Phenomena</v>
      </c>
      <c r="C44" t="s">
        <v>7</v>
      </c>
      <c r="D44" t="s">
        <v>60</v>
      </c>
      <c r="E44" t="s">
        <v>59</v>
      </c>
      <c r="F44" t="s">
        <v>58</v>
      </c>
      <c r="G44" t="s">
        <v>35</v>
      </c>
      <c r="H44" t="s">
        <v>57</v>
      </c>
      <c r="I44" t="s">
        <v>56</v>
      </c>
      <c r="J44" t="s">
        <v>55</v>
      </c>
    </row>
    <row r="45" spans="1:10" x14ac:dyDescent="0.25">
      <c r="A45" t="str">
        <f>_xlfn.TEXTBEFORE(Table1[[#This Row],[Scheme Line]]," - ")</f>
        <v>MATH-243</v>
      </c>
      <c r="B45" t="str">
        <f>_xlfn.TEXTAFTER(Table1[[#This Row],[Scheme Line]]," - ")</f>
        <v>Vector Calculus</v>
      </c>
      <c r="C45" t="s">
        <v>11</v>
      </c>
      <c r="D45" t="s">
        <v>29</v>
      </c>
      <c r="E45" t="s">
        <v>28</v>
      </c>
      <c r="F45" t="s">
        <v>52</v>
      </c>
      <c r="G45" t="s">
        <v>3</v>
      </c>
      <c r="H45" t="s">
        <v>50</v>
      </c>
      <c r="I45" t="s">
        <v>49</v>
      </c>
      <c r="J45" t="s">
        <v>54</v>
      </c>
    </row>
    <row r="46" spans="1:10" x14ac:dyDescent="0.25">
      <c r="A46" t="str">
        <f>_xlfn.TEXTBEFORE(Table1[[#This Row],[Scheme Line]]," - ")</f>
        <v>MATH-243</v>
      </c>
      <c r="B46" t="str">
        <f>_xlfn.TEXTAFTER(Table1[[#This Row],[Scheme Line]]," - ")</f>
        <v>Vector Calculus</v>
      </c>
      <c r="C46" t="s">
        <v>9</v>
      </c>
      <c r="D46" t="s">
        <v>29</v>
      </c>
      <c r="E46" t="s">
        <v>28</v>
      </c>
      <c r="F46" t="s">
        <v>52</v>
      </c>
      <c r="G46" t="s">
        <v>3</v>
      </c>
      <c r="H46" t="s">
        <v>2</v>
      </c>
      <c r="I46" t="s">
        <v>1</v>
      </c>
      <c r="J46" t="s">
        <v>53</v>
      </c>
    </row>
    <row r="47" spans="1:10" x14ac:dyDescent="0.25">
      <c r="A47" t="str">
        <f>_xlfn.TEXTBEFORE(Table1[[#This Row],[Scheme Line]]," - ")</f>
        <v>MATH-243</v>
      </c>
      <c r="B47" t="str">
        <f>_xlfn.TEXTAFTER(Table1[[#This Row],[Scheme Line]]," - ")</f>
        <v>Vector Calculus</v>
      </c>
      <c r="C47" t="s">
        <v>7</v>
      </c>
      <c r="D47" t="s">
        <v>29</v>
      </c>
      <c r="E47" t="s">
        <v>28</v>
      </c>
      <c r="F47" t="s">
        <v>52</v>
      </c>
      <c r="G47" t="s">
        <v>3</v>
      </c>
      <c r="H47" t="s">
        <v>2</v>
      </c>
      <c r="I47" t="s">
        <v>1</v>
      </c>
      <c r="J47" t="s">
        <v>51</v>
      </c>
    </row>
    <row r="48" spans="1:10" x14ac:dyDescent="0.25">
      <c r="A48" t="str">
        <f>_xlfn.TEXTBEFORE(Table1[[#This Row],[Scheme Line]]," - ")</f>
        <v>CHE-242</v>
      </c>
      <c r="B48" t="str">
        <f>_xlfn.TEXTAFTER(Table1[[#This Row],[Scheme Line]]," - ")</f>
        <v>Heat Transfer</v>
      </c>
      <c r="C48" t="s">
        <v>11</v>
      </c>
      <c r="D48" t="s">
        <v>29</v>
      </c>
      <c r="E48" t="s">
        <v>28</v>
      </c>
      <c r="F48" t="s">
        <v>40</v>
      </c>
      <c r="G48" t="s">
        <v>23</v>
      </c>
      <c r="H48" t="s">
        <v>50</v>
      </c>
      <c r="I48" t="s">
        <v>49</v>
      </c>
      <c r="J48" t="s">
        <v>48</v>
      </c>
    </row>
    <row r="49" spans="1:10" x14ac:dyDescent="0.25">
      <c r="A49" t="str">
        <f>_xlfn.TEXTBEFORE(Table1[[#This Row],[Scheme Line]]," - ")</f>
        <v>CHE-242</v>
      </c>
      <c r="B49" t="str">
        <f>_xlfn.TEXTAFTER(Table1[[#This Row],[Scheme Line]]," - ")</f>
        <v>Heat Transfer</v>
      </c>
      <c r="C49" t="s">
        <v>9</v>
      </c>
      <c r="D49" t="s">
        <v>29</v>
      </c>
      <c r="E49" t="s">
        <v>28</v>
      </c>
      <c r="F49" t="s">
        <v>40</v>
      </c>
      <c r="G49" t="s">
        <v>3</v>
      </c>
      <c r="H49" t="s">
        <v>2</v>
      </c>
      <c r="I49" t="s">
        <v>1</v>
      </c>
      <c r="J49" t="s">
        <v>47</v>
      </c>
    </row>
    <row r="50" spans="1:10" x14ac:dyDescent="0.25">
      <c r="A50" t="str">
        <f>_xlfn.TEXTBEFORE(Table1[[#This Row],[Scheme Line]]," - ")</f>
        <v>CHE-242</v>
      </c>
      <c r="B50" t="str">
        <f>_xlfn.TEXTAFTER(Table1[[#This Row],[Scheme Line]]," - ")</f>
        <v>Heat Transfer</v>
      </c>
      <c r="C50" t="s">
        <v>7</v>
      </c>
      <c r="D50" t="s">
        <v>29</v>
      </c>
      <c r="E50" t="s">
        <v>28</v>
      </c>
      <c r="F50" t="s">
        <v>40</v>
      </c>
      <c r="G50" t="s">
        <v>35</v>
      </c>
      <c r="H50" t="s">
        <v>2</v>
      </c>
      <c r="I50" t="s">
        <v>34</v>
      </c>
      <c r="J50" t="s">
        <v>46</v>
      </c>
    </row>
    <row r="51" spans="1:10" x14ac:dyDescent="0.25">
      <c r="A51" t="str">
        <f>_xlfn.TEXTBEFORE(Table1[[#This Row],[Scheme Line]]," - ")</f>
        <v>CHE-242</v>
      </c>
      <c r="B51" t="str">
        <f>_xlfn.TEXTAFTER(Table1[[#This Row],[Scheme Line]]," - ")</f>
        <v>Heat Transfer</v>
      </c>
      <c r="C51" t="s">
        <v>20</v>
      </c>
      <c r="D51" t="s">
        <v>29</v>
      </c>
      <c r="E51" t="s">
        <v>28</v>
      </c>
      <c r="F51" t="s">
        <v>40</v>
      </c>
      <c r="G51" t="s">
        <v>35</v>
      </c>
      <c r="H51" t="s">
        <v>2</v>
      </c>
      <c r="I51" t="s">
        <v>32</v>
      </c>
      <c r="J51" t="s">
        <v>45</v>
      </c>
    </row>
    <row r="52" spans="1:10" x14ac:dyDescent="0.25">
      <c r="A52" t="str">
        <f>_xlfn.TEXTBEFORE(Table1[[#This Row],[Scheme Line]]," - ")</f>
        <v>CHE-242</v>
      </c>
      <c r="B52" t="str">
        <f>_xlfn.TEXTAFTER(Table1[[#This Row],[Scheme Line]]," - ")</f>
        <v>Heat Transfer</v>
      </c>
      <c r="C52" t="s">
        <v>16</v>
      </c>
      <c r="D52" t="s">
        <v>29</v>
      </c>
      <c r="E52" t="s">
        <v>28</v>
      </c>
      <c r="F52" t="s">
        <v>40</v>
      </c>
      <c r="G52" t="s">
        <v>19</v>
      </c>
      <c r="H52" t="s">
        <v>2</v>
      </c>
      <c r="I52" t="s">
        <v>18</v>
      </c>
      <c r="J52" t="s">
        <v>44</v>
      </c>
    </row>
    <row r="53" spans="1:10" x14ac:dyDescent="0.25">
      <c r="A53" t="str">
        <f>_xlfn.TEXTBEFORE(Table1[[#This Row],[Scheme Line]]," - ")</f>
        <v>CHE-242</v>
      </c>
      <c r="B53" t="str">
        <f>_xlfn.TEXTAFTER(Table1[[#This Row],[Scheme Line]]," - ")</f>
        <v>Heat Transfer</v>
      </c>
      <c r="C53" t="s">
        <v>30</v>
      </c>
      <c r="D53" t="s">
        <v>29</v>
      </c>
      <c r="E53" t="s">
        <v>28</v>
      </c>
      <c r="F53" t="s">
        <v>40</v>
      </c>
      <c r="G53" t="s">
        <v>43</v>
      </c>
      <c r="H53" t="s">
        <v>2</v>
      </c>
      <c r="I53" t="s">
        <v>13</v>
      </c>
      <c r="J53" t="s">
        <v>42</v>
      </c>
    </row>
    <row r="54" spans="1:10" x14ac:dyDescent="0.25">
      <c r="A54" t="str">
        <f>_xlfn.TEXTBEFORE(Table1[[#This Row],[Scheme Line]]," - ")</f>
        <v>CHE-242</v>
      </c>
      <c r="B54" t="str">
        <f>_xlfn.TEXTAFTER(Table1[[#This Row],[Scheme Line]]," - ")</f>
        <v>Heat Transfer</v>
      </c>
      <c r="C54" t="s">
        <v>41</v>
      </c>
      <c r="D54" t="s">
        <v>29</v>
      </c>
      <c r="E54" t="s">
        <v>28</v>
      </c>
      <c r="F54" t="s">
        <v>40</v>
      </c>
      <c r="G54" t="s">
        <v>35</v>
      </c>
      <c r="H54" t="s">
        <v>2</v>
      </c>
      <c r="I54" t="s">
        <v>34</v>
      </c>
      <c r="J54" t="s">
        <v>39</v>
      </c>
    </row>
    <row r="55" spans="1:10" x14ac:dyDescent="0.25">
      <c r="A55" t="str">
        <f>_xlfn.TEXTBEFORE(Table1[[#This Row],[Scheme Line]]," - ")</f>
        <v>CHE-346</v>
      </c>
      <c r="B55" t="str">
        <f>_xlfn.TEXTAFTER(Table1[[#This Row],[Scheme Line]]," - ")</f>
        <v>Particulate Technology</v>
      </c>
      <c r="C55" t="s">
        <v>11</v>
      </c>
      <c r="D55" t="s">
        <v>29</v>
      </c>
      <c r="E55" t="s">
        <v>28</v>
      </c>
      <c r="F55" t="s">
        <v>27</v>
      </c>
      <c r="G55" t="s">
        <v>23</v>
      </c>
      <c r="H55" t="s">
        <v>2</v>
      </c>
      <c r="I55" t="s">
        <v>1</v>
      </c>
      <c r="J55" t="s">
        <v>38</v>
      </c>
    </row>
    <row r="56" spans="1:10" x14ac:dyDescent="0.25">
      <c r="A56" t="str">
        <f>_xlfn.TEXTBEFORE(Table1[[#This Row],[Scheme Line]]," - ")</f>
        <v>CHE-346</v>
      </c>
      <c r="B56" t="str">
        <f>_xlfn.TEXTAFTER(Table1[[#This Row],[Scheme Line]]," - ")</f>
        <v>Particulate Technology</v>
      </c>
      <c r="C56" t="s">
        <v>9</v>
      </c>
      <c r="D56" t="s">
        <v>29</v>
      </c>
      <c r="E56" t="s">
        <v>28</v>
      </c>
      <c r="F56" t="s">
        <v>27</v>
      </c>
      <c r="G56" t="s">
        <v>23</v>
      </c>
      <c r="H56" t="s">
        <v>2</v>
      </c>
      <c r="I56" t="s">
        <v>1</v>
      </c>
      <c r="J56" t="s">
        <v>37</v>
      </c>
    </row>
    <row r="57" spans="1:10" x14ac:dyDescent="0.25">
      <c r="A57" t="str">
        <f>_xlfn.TEXTBEFORE(Table1[[#This Row],[Scheme Line]]," - ")</f>
        <v>CHE-346</v>
      </c>
      <c r="B57" t="str">
        <f>_xlfn.TEXTAFTER(Table1[[#This Row],[Scheme Line]]," - ")</f>
        <v>Particulate Technology</v>
      </c>
      <c r="C57" t="s">
        <v>7</v>
      </c>
      <c r="D57" t="s">
        <v>29</v>
      </c>
      <c r="E57" t="s">
        <v>28</v>
      </c>
      <c r="F57" t="s">
        <v>27</v>
      </c>
      <c r="G57" t="s">
        <v>14</v>
      </c>
      <c r="H57" t="s">
        <v>2</v>
      </c>
      <c r="I57" t="s">
        <v>13</v>
      </c>
      <c r="J57" t="s">
        <v>36</v>
      </c>
    </row>
    <row r="58" spans="1:10" x14ac:dyDescent="0.25">
      <c r="A58" t="str">
        <f>_xlfn.TEXTBEFORE(Table1[[#This Row],[Scheme Line]]," - ")</f>
        <v>CHE-346</v>
      </c>
      <c r="B58" t="str">
        <f>_xlfn.TEXTAFTER(Table1[[#This Row],[Scheme Line]]," - ")</f>
        <v>Particulate Technology</v>
      </c>
      <c r="C58" t="s">
        <v>20</v>
      </c>
      <c r="D58" t="s">
        <v>29</v>
      </c>
      <c r="E58" t="s">
        <v>28</v>
      </c>
      <c r="F58" t="s">
        <v>27</v>
      </c>
      <c r="G58" t="s">
        <v>35</v>
      </c>
      <c r="H58" t="s">
        <v>2</v>
      </c>
      <c r="I58" t="s">
        <v>34</v>
      </c>
      <c r="J58" t="s">
        <v>33</v>
      </c>
    </row>
    <row r="59" spans="1:10" x14ac:dyDescent="0.25">
      <c r="A59" t="str">
        <f>_xlfn.TEXTBEFORE(Table1[[#This Row],[Scheme Line]]," - ")</f>
        <v>CHE-346</v>
      </c>
      <c r="B59" t="str">
        <f>_xlfn.TEXTAFTER(Table1[[#This Row],[Scheme Line]]," - ")</f>
        <v>Particulate Technology</v>
      </c>
      <c r="C59" t="s">
        <v>16</v>
      </c>
      <c r="D59" t="s">
        <v>29</v>
      </c>
      <c r="E59" t="s">
        <v>28</v>
      </c>
      <c r="F59" t="s">
        <v>27</v>
      </c>
      <c r="G59" t="s">
        <v>23</v>
      </c>
      <c r="H59" t="s">
        <v>2</v>
      </c>
      <c r="I59" t="s">
        <v>32</v>
      </c>
      <c r="J59" t="s">
        <v>31</v>
      </c>
    </row>
    <row r="60" spans="1:10" x14ac:dyDescent="0.25">
      <c r="A60" t="str">
        <f>_xlfn.TEXTBEFORE(Table1[[#This Row],[Scheme Line]]," - ")</f>
        <v>CHE-346</v>
      </c>
      <c r="B60" t="str">
        <f>_xlfn.TEXTAFTER(Table1[[#This Row],[Scheme Line]]," - ")</f>
        <v>Particulate Technology</v>
      </c>
      <c r="C60" t="s">
        <v>30</v>
      </c>
      <c r="D60" t="s">
        <v>29</v>
      </c>
      <c r="E60" t="s">
        <v>28</v>
      </c>
      <c r="F60" t="s">
        <v>27</v>
      </c>
      <c r="G60" t="s">
        <v>26</v>
      </c>
      <c r="H60" t="s">
        <v>2</v>
      </c>
      <c r="I60" t="s">
        <v>18</v>
      </c>
      <c r="J60" t="s">
        <v>25</v>
      </c>
    </row>
    <row r="61" spans="1:10" x14ac:dyDescent="0.25">
      <c r="A61" t="str">
        <f>_xlfn.TEXTBEFORE(Table1[[#This Row],[Scheme Line]]," - ")</f>
        <v>QR-101</v>
      </c>
      <c r="B61" t="str">
        <f>_xlfn.TEXTAFTER(Table1[[#This Row],[Scheme Line]]," - ")</f>
        <v>Quantitative Reasoning-II</v>
      </c>
      <c r="C61" t="s">
        <v>11</v>
      </c>
      <c r="D61" t="s">
        <v>29</v>
      </c>
      <c r="E61" t="s">
        <v>28</v>
      </c>
      <c r="F61" t="s">
        <v>170</v>
      </c>
      <c r="G61" t="s">
        <v>3</v>
      </c>
      <c r="H61" t="s">
        <v>50</v>
      </c>
      <c r="I61" t="s">
        <v>49</v>
      </c>
      <c r="J61" t="s">
        <v>171</v>
      </c>
    </row>
    <row r="62" spans="1:10" x14ac:dyDescent="0.25">
      <c r="A62" t="str">
        <f>_xlfn.TEXTBEFORE(Table1[[#This Row],[Scheme Line]]," - ")</f>
        <v>QR-101</v>
      </c>
      <c r="B62" t="str">
        <f>_xlfn.TEXTAFTER(Table1[[#This Row],[Scheme Line]]," - ")</f>
        <v>Quantitative Reasoning-II</v>
      </c>
      <c r="C62" t="s">
        <v>9</v>
      </c>
      <c r="D62" t="s">
        <v>29</v>
      </c>
      <c r="E62" t="s">
        <v>28</v>
      </c>
      <c r="F62" t="s">
        <v>170</v>
      </c>
      <c r="G62" t="s">
        <v>3</v>
      </c>
      <c r="H62" t="s">
        <v>50</v>
      </c>
      <c r="I62" t="s">
        <v>49</v>
      </c>
      <c r="J62" t="s">
        <v>172</v>
      </c>
    </row>
    <row r="63" spans="1:10" x14ac:dyDescent="0.25">
      <c r="A63" t="str">
        <f>_xlfn.TEXTBEFORE(Table1[[#This Row],[Scheme Line]]," - ")</f>
        <v>QR-101</v>
      </c>
      <c r="B63" t="str">
        <f>_xlfn.TEXTAFTER(Table1[[#This Row],[Scheme Line]]," - ")</f>
        <v>Quantitative Reasoning-II</v>
      </c>
      <c r="C63" t="s">
        <v>7</v>
      </c>
      <c r="D63" t="s">
        <v>29</v>
      </c>
      <c r="E63" t="s">
        <v>28</v>
      </c>
      <c r="F63" t="s">
        <v>170</v>
      </c>
      <c r="G63" t="s">
        <v>3</v>
      </c>
      <c r="H63" t="s">
        <v>2</v>
      </c>
      <c r="I63" t="s">
        <v>1</v>
      </c>
      <c r="J63" t="s">
        <v>173</v>
      </c>
    </row>
    <row r="64" spans="1:10" x14ac:dyDescent="0.25">
      <c r="A64" t="str">
        <f>_xlfn.TEXTBEFORE(Table1[[#This Row],[Scheme Line]]," - ")</f>
        <v>QR-101</v>
      </c>
      <c r="B64" t="str">
        <f>_xlfn.TEXTAFTER(Table1[[#This Row],[Scheme Line]]," - ")</f>
        <v>Quantitative Reasoning-II</v>
      </c>
      <c r="C64" t="s">
        <v>20</v>
      </c>
      <c r="D64" t="s">
        <v>29</v>
      </c>
      <c r="E64" t="s">
        <v>28</v>
      </c>
      <c r="F64" t="s">
        <v>170</v>
      </c>
      <c r="G64" t="s">
        <v>3</v>
      </c>
      <c r="H64" t="s">
        <v>57</v>
      </c>
      <c r="I64" t="s">
        <v>56</v>
      </c>
      <c r="J64" t="s">
        <v>174</v>
      </c>
    </row>
    <row r="65" spans="1:10" x14ac:dyDescent="0.25">
      <c r="A65" t="str">
        <f>_xlfn.TEXTBEFORE(Table1[[#This Row],[Scheme Line]]," - ")</f>
        <v>CHE-220</v>
      </c>
      <c r="B65" t="str">
        <f>_xlfn.TEXTAFTER(Table1[[#This Row],[Scheme Line]]," - ")</f>
        <v>Mass Transfer</v>
      </c>
      <c r="C65" t="s">
        <v>11</v>
      </c>
      <c r="D65" t="s">
        <v>29</v>
      </c>
      <c r="E65" t="s">
        <v>28</v>
      </c>
      <c r="F65" t="s">
        <v>175</v>
      </c>
      <c r="G65" t="s">
        <v>23</v>
      </c>
      <c r="H65" t="s">
        <v>2</v>
      </c>
      <c r="I65" t="s">
        <v>1</v>
      </c>
      <c r="J65" t="s">
        <v>176</v>
      </c>
    </row>
    <row r="66" spans="1:10" x14ac:dyDescent="0.25">
      <c r="A66" t="str">
        <f>_xlfn.TEXTBEFORE(Table1[[#This Row],[Scheme Line]]," - ")</f>
        <v>CHE-220</v>
      </c>
      <c r="B66" t="str">
        <f>_xlfn.TEXTAFTER(Table1[[#This Row],[Scheme Line]]," - ")</f>
        <v>Mass Transfer</v>
      </c>
      <c r="C66" t="s">
        <v>9</v>
      </c>
      <c r="D66" t="s">
        <v>29</v>
      </c>
      <c r="E66" t="s">
        <v>28</v>
      </c>
      <c r="F66" t="s">
        <v>175</v>
      </c>
      <c r="G66" t="s">
        <v>3</v>
      </c>
      <c r="H66" t="s">
        <v>2</v>
      </c>
      <c r="I66" t="s">
        <v>1</v>
      </c>
      <c r="J66" t="s">
        <v>177</v>
      </c>
    </row>
    <row r="67" spans="1:10" x14ac:dyDescent="0.25">
      <c r="A67" t="str">
        <f>_xlfn.TEXTBEFORE(Table1[[#This Row],[Scheme Line]]," - ")</f>
        <v>CHE-220</v>
      </c>
      <c r="B67" t="str">
        <f>_xlfn.TEXTAFTER(Table1[[#This Row],[Scheme Line]]," - ")</f>
        <v>Mass Transfer</v>
      </c>
      <c r="C67" t="s">
        <v>7</v>
      </c>
      <c r="D67" t="s">
        <v>29</v>
      </c>
      <c r="E67" t="s">
        <v>28</v>
      </c>
      <c r="F67" t="s">
        <v>175</v>
      </c>
      <c r="G67" t="s">
        <v>35</v>
      </c>
      <c r="H67" t="s">
        <v>2</v>
      </c>
      <c r="I67" t="s">
        <v>34</v>
      </c>
      <c r="J67" t="s">
        <v>178</v>
      </c>
    </row>
    <row r="68" spans="1:10" x14ac:dyDescent="0.25">
      <c r="A68" t="str">
        <f>_xlfn.TEXTBEFORE(Table1[[#This Row],[Scheme Line]]," - ")</f>
        <v>PHY-102</v>
      </c>
      <c r="B68" t="str">
        <f>_xlfn.TEXTAFTER(Table1[[#This Row],[Scheme Line]]," - ")</f>
        <v>Applied Physics</v>
      </c>
      <c r="C68" t="s">
        <v>11</v>
      </c>
      <c r="D68" t="s">
        <v>6</v>
      </c>
      <c r="E68" t="s">
        <v>5</v>
      </c>
      <c r="F68" t="s">
        <v>15</v>
      </c>
      <c r="G68" t="s">
        <v>23</v>
      </c>
      <c r="H68" t="s">
        <v>2</v>
      </c>
      <c r="I68" t="s">
        <v>1</v>
      </c>
      <c r="J68" t="s">
        <v>24</v>
      </c>
    </row>
    <row r="69" spans="1:10" x14ac:dyDescent="0.25">
      <c r="A69" t="str">
        <f>_xlfn.TEXTBEFORE(Table1[[#This Row],[Scheme Line]]," - ")</f>
        <v>PHY-102</v>
      </c>
      <c r="B69" t="str">
        <f>_xlfn.TEXTAFTER(Table1[[#This Row],[Scheme Line]]," - ")</f>
        <v>Applied Physics</v>
      </c>
      <c r="C69" t="s">
        <v>9</v>
      </c>
      <c r="D69" t="s">
        <v>6</v>
      </c>
      <c r="E69" t="s">
        <v>5</v>
      </c>
      <c r="F69" t="s">
        <v>15</v>
      </c>
      <c r="G69" t="s">
        <v>23</v>
      </c>
      <c r="H69" t="s">
        <v>2</v>
      </c>
      <c r="I69" t="s">
        <v>1</v>
      </c>
      <c r="J69" t="s">
        <v>22</v>
      </c>
    </row>
    <row r="70" spans="1:10" x14ac:dyDescent="0.25">
      <c r="A70" t="str">
        <f>_xlfn.TEXTBEFORE(Table1[[#This Row],[Scheme Line]]," - ")</f>
        <v>PHY-102</v>
      </c>
      <c r="B70" t="str">
        <f>_xlfn.TEXTAFTER(Table1[[#This Row],[Scheme Line]]," - ")</f>
        <v>Applied Physics</v>
      </c>
      <c r="C70" t="s">
        <v>7</v>
      </c>
      <c r="D70" t="s">
        <v>6</v>
      </c>
      <c r="E70" t="s">
        <v>5</v>
      </c>
      <c r="F70" t="s">
        <v>15</v>
      </c>
      <c r="G70" t="s">
        <v>14</v>
      </c>
      <c r="H70" t="s">
        <v>2</v>
      </c>
      <c r="I70" t="s">
        <v>13</v>
      </c>
      <c r="J70" t="s">
        <v>21</v>
      </c>
    </row>
    <row r="71" spans="1:10" x14ac:dyDescent="0.25">
      <c r="A71" t="str">
        <f>_xlfn.TEXTBEFORE(Table1[[#This Row],[Scheme Line]]," - ")</f>
        <v>PHY-102</v>
      </c>
      <c r="B71" t="str">
        <f>_xlfn.TEXTAFTER(Table1[[#This Row],[Scheme Line]]," - ")</f>
        <v>Applied Physics</v>
      </c>
      <c r="C71" t="s">
        <v>20</v>
      </c>
      <c r="D71" t="s">
        <v>6</v>
      </c>
      <c r="E71" t="s">
        <v>5</v>
      </c>
      <c r="F71" t="s">
        <v>15</v>
      </c>
      <c r="G71" t="s">
        <v>19</v>
      </c>
      <c r="H71" t="s">
        <v>2</v>
      </c>
      <c r="I71" t="s">
        <v>18</v>
      </c>
      <c r="J71" t="s">
        <v>17</v>
      </c>
    </row>
    <row r="72" spans="1:10" x14ac:dyDescent="0.25">
      <c r="A72" t="str">
        <f>_xlfn.TEXTBEFORE(Table1[[#This Row],[Scheme Line]]," - ")</f>
        <v>PHY-102</v>
      </c>
      <c r="B72" t="str">
        <f>_xlfn.TEXTAFTER(Table1[[#This Row],[Scheme Line]]," - ")</f>
        <v>Applied Physics</v>
      </c>
      <c r="C72" t="s">
        <v>16</v>
      </c>
      <c r="D72" t="s">
        <v>6</v>
      </c>
      <c r="E72" t="s">
        <v>5</v>
      </c>
      <c r="F72" t="s">
        <v>15</v>
      </c>
      <c r="G72" t="s">
        <v>14</v>
      </c>
      <c r="H72" t="s">
        <v>2</v>
      </c>
      <c r="I72" t="s">
        <v>13</v>
      </c>
      <c r="J72" t="s">
        <v>12</v>
      </c>
    </row>
    <row r="73" spans="1:10" x14ac:dyDescent="0.25">
      <c r="A73" t="str">
        <f>_xlfn.TEXTBEFORE(Table1[[#This Row],[Scheme Line]]," - ")</f>
        <v>CHE-115</v>
      </c>
      <c r="B73" t="str">
        <f>_xlfn.TEXTAFTER(Table1[[#This Row],[Scheme Line]]," - ")</f>
        <v>Chemical Process Industries</v>
      </c>
      <c r="C73" t="s">
        <v>11</v>
      </c>
      <c r="D73" t="s">
        <v>6</v>
      </c>
      <c r="E73" t="s">
        <v>5</v>
      </c>
      <c r="F73" t="s">
        <v>166</v>
      </c>
      <c r="G73" t="s">
        <v>23</v>
      </c>
      <c r="H73" t="s">
        <v>50</v>
      </c>
      <c r="I73" t="s">
        <v>49</v>
      </c>
      <c r="J73" t="s">
        <v>164</v>
      </c>
    </row>
    <row r="74" spans="1:10" x14ac:dyDescent="0.25">
      <c r="A74" t="str">
        <f>_xlfn.TEXTBEFORE(Table1[[#This Row],[Scheme Line]]," - ")</f>
        <v>CHE-115</v>
      </c>
      <c r="B74" t="str">
        <f>_xlfn.TEXTAFTER(Table1[[#This Row],[Scheme Line]]," - ")</f>
        <v>Chemical Process Industries</v>
      </c>
      <c r="C74" t="s">
        <v>9</v>
      </c>
      <c r="D74" t="s">
        <v>6</v>
      </c>
      <c r="E74" t="s">
        <v>5</v>
      </c>
      <c r="F74" t="s">
        <v>166</v>
      </c>
      <c r="G74" t="s">
        <v>23</v>
      </c>
      <c r="H74" t="s">
        <v>50</v>
      </c>
      <c r="I74" t="s">
        <v>49</v>
      </c>
      <c r="J74" t="s">
        <v>165</v>
      </c>
    </row>
    <row r="75" spans="1:10" x14ac:dyDescent="0.25">
      <c r="A75" t="str">
        <f>_xlfn.TEXTBEFORE(Table1[[#This Row],[Scheme Line]]," - ")</f>
        <v>ME-124</v>
      </c>
      <c r="B75" t="str">
        <f>_xlfn.TEXTAFTER(Table1[[#This Row],[Scheme Line]]," - ")</f>
        <v>Engineering Drawing and Graphics</v>
      </c>
      <c r="C75" t="s">
        <v>11</v>
      </c>
      <c r="D75" t="s">
        <v>6</v>
      </c>
      <c r="E75" t="s">
        <v>5</v>
      </c>
      <c r="F75" t="s">
        <v>179</v>
      </c>
      <c r="G75" t="s">
        <v>23</v>
      </c>
      <c r="H75" t="s">
        <v>50</v>
      </c>
      <c r="I75" t="s">
        <v>49</v>
      </c>
      <c r="J75" t="s">
        <v>180</v>
      </c>
    </row>
    <row r="76" spans="1:10" x14ac:dyDescent="0.25">
      <c r="A76" t="str">
        <f>_xlfn.TEXTBEFORE(Table1[[#This Row],[Scheme Line]]," - ")</f>
        <v>ME-124</v>
      </c>
      <c r="B76" t="str">
        <f>_xlfn.TEXTAFTER(Table1[[#This Row],[Scheme Line]]," - ")</f>
        <v>Engineering Drawing and Graphics</v>
      </c>
      <c r="C76" t="s">
        <v>9</v>
      </c>
      <c r="D76" t="s">
        <v>6</v>
      </c>
      <c r="E76" t="s">
        <v>5</v>
      </c>
      <c r="F76" t="s">
        <v>179</v>
      </c>
      <c r="G76" t="s">
        <v>111</v>
      </c>
      <c r="H76" t="s">
        <v>2</v>
      </c>
      <c r="I76" t="s">
        <v>34</v>
      </c>
      <c r="J76" t="s">
        <v>181</v>
      </c>
    </row>
    <row r="77" spans="1:10" x14ac:dyDescent="0.25">
      <c r="A77" t="str">
        <f>_xlfn.TEXTBEFORE(Table1[[#This Row],[Scheme Line]]," - ")</f>
        <v>ME-124</v>
      </c>
      <c r="B77" t="str">
        <f>_xlfn.TEXTAFTER(Table1[[#This Row],[Scheme Line]]," - ")</f>
        <v>Engineering Drawing and Graphics</v>
      </c>
      <c r="C77" t="s">
        <v>7</v>
      </c>
      <c r="D77" t="s">
        <v>6</v>
      </c>
      <c r="E77" t="s">
        <v>5</v>
      </c>
      <c r="F77" t="s">
        <v>179</v>
      </c>
      <c r="G77" t="s">
        <v>14</v>
      </c>
      <c r="H77" t="s">
        <v>57</v>
      </c>
      <c r="I77" t="s">
        <v>182</v>
      </c>
      <c r="J77" t="s">
        <v>183</v>
      </c>
    </row>
    <row r="78" spans="1:10" x14ac:dyDescent="0.25">
      <c r="A78" t="str">
        <f>_xlfn.TEXTBEFORE(Table1[[#This Row],[Scheme Line]]," - ")</f>
        <v>QR-100</v>
      </c>
      <c r="B78" t="str">
        <f>_xlfn.TEXTAFTER(Table1[[#This Row],[Scheme Line]]," - ")</f>
        <v>Quantitative Reasoning-I</v>
      </c>
      <c r="C78" t="s">
        <v>11</v>
      </c>
      <c r="D78" t="s">
        <v>6</v>
      </c>
      <c r="E78" t="s">
        <v>5</v>
      </c>
      <c r="F78" t="s">
        <v>4</v>
      </c>
      <c r="G78" t="s">
        <v>3</v>
      </c>
      <c r="H78" t="s">
        <v>2</v>
      </c>
      <c r="I78" t="s">
        <v>1</v>
      </c>
      <c r="J78" t="s">
        <v>10</v>
      </c>
    </row>
    <row r="79" spans="1:10" x14ac:dyDescent="0.25">
      <c r="A79" t="str">
        <f>_xlfn.TEXTBEFORE(Table1[[#This Row],[Scheme Line]]," - ")</f>
        <v>QR-100</v>
      </c>
      <c r="B79" t="str">
        <f>_xlfn.TEXTAFTER(Table1[[#This Row],[Scheme Line]]," - ")</f>
        <v>Quantitative Reasoning-I</v>
      </c>
      <c r="C79" t="s">
        <v>9</v>
      </c>
      <c r="D79" t="s">
        <v>6</v>
      </c>
      <c r="E79" t="s">
        <v>5</v>
      </c>
      <c r="F79" t="s">
        <v>4</v>
      </c>
      <c r="G79" t="s">
        <v>3</v>
      </c>
      <c r="H79" t="s">
        <v>2</v>
      </c>
      <c r="I79" t="s">
        <v>1</v>
      </c>
      <c r="J79" t="s">
        <v>8</v>
      </c>
    </row>
    <row r="80" spans="1:10" x14ac:dyDescent="0.25">
      <c r="A80" t="str">
        <f>_xlfn.TEXTBEFORE(Table1[[#This Row],[Scheme Line]]," - ")</f>
        <v>QR-100</v>
      </c>
      <c r="B80" t="str">
        <f>_xlfn.TEXTAFTER(Table1[[#This Row],[Scheme Line]]," - ")</f>
        <v>Quantitative Reasoning-I</v>
      </c>
      <c r="C80" t="s">
        <v>7</v>
      </c>
      <c r="D80" t="s">
        <v>6</v>
      </c>
      <c r="E80" t="s">
        <v>5</v>
      </c>
      <c r="F80" t="s">
        <v>4</v>
      </c>
      <c r="G80" t="s">
        <v>3</v>
      </c>
      <c r="H80" t="s">
        <v>2</v>
      </c>
      <c r="I80" t="s">
        <v>1</v>
      </c>
      <c r="J80" t="s">
        <v>0</v>
      </c>
    </row>
    <row r="81" spans="1:10" x14ac:dyDescent="0.25">
      <c r="A81" t="str">
        <f>_xlfn.TEXTBEFORE(Table1[[#This Row],[Scheme Line]]," - ")</f>
        <v>CH-113</v>
      </c>
      <c r="B81" t="str">
        <f>_xlfn.TEXTAFTER(Table1[[#This Row],[Scheme Line]]," - ")</f>
        <v>Inorganic &amp; Organic Chemistry</v>
      </c>
      <c r="C81" t="s">
        <v>11</v>
      </c>
      <c r="D81" t="s">
        <v>6</v>
      </c>
      <c r="E81" t="s">
        <v>5</v>
      </c>
      <c r="F81" t="s">
        <v>156</v>
      </c>
      <c r="G81" t="s">
        <v>23</v>
      </c>
      <c r="H81" t="s">
        <v>50</v>
      </c>
      <c r="I81" t="s">
        <v>49</v>
      </c>
      <c r="J81" t="s">
        <v>157</v>
      </c>
    </row>
    <row r="82" spans="1:10" x14ac:dyDescent="0.25">
      <c r="A82" t="str">
        <f>_xlfn.TEXTBEFORE(Table1[[#This Row],[Scheme Line]]," - ")</f>
        <v>CH-113</v>
      </c>
      <c r="B82" t="str">
        <f>_xlfn.TEXTAFTER(Table1[[#This Row],[Scheme Line]]," - ")</f>
        <v>Inorganic &amp; Organic Chemistry</v>
      </c>
      <c r="C82" t="s">
        <v>9</v>
      </c>
      <c r="D82" t="s">
        <v>6</v>
      </c>
      <c r="E82" t="s">
        <v>5</v>
      </c>
      <c r="F82" t="s">
        <v>156</v>
      </c>
      <c r="G82" t="s">
        <v>23</v>
      </c>
      <c r="H82" t="s">
        <v>50</v>
      </c>
      <c r="I82" t="s">
        <v>49</v>
      </c>
      <c r="J82" t="s">
        <v>158</v>
      </c>
    </row>
    <row r="83" spans="1:10" x14ac:dyDescent="0.25">
      <c r="A83" t="str">
        <f>_xlfn.TEXTBEFORE(Table1[[#This Row],[Scheme Line]]," - ")</f>
        <v>CH-113</v>
      </c>
      <c r="B83" t="str">
        <f>_xlfn.TEXTAFTER(Table1[[#This Row],[Scheme Line]]," - ")</f>
        <v>Inorganic &amp; Organic Chemistry</v>
      </c>
      <c r="C83" t="s">
        <v>7</v>
      </c>
      <c r="D83" t="s">
        <v>6</v>
      </c>
      <c r="E83" t="s">
        <v>5</v>
      </c>
      <c r="F83" t="s">
        <v>156</v>
      </c>
      <c r="G83" t="s">
        <v>23</v>
      </c>
      <c r="H83" t="s">
        <v>2</v>
      </c>
      <c r="I83" t="s">
        <v>1</v>
      </c>
      <c r="J83" t="s">
        <v>159</v>
      </c>
    </row>
    <row r="84" spans="1:10" x14ac:dyDescent="0.25">
      <c r="A84" t="str">
        <f>_xlfn.TEXTBEFORE(Table1[[#This Row],[Scheme Line]]," - ")</f>
        <v>CH-113</v>
      </c>
      <c r="B84" t="str">
        <f>_xlfn.TEXTAFTER(Table1[[#This Row],[Scheme Line]]," - ")</f>
        <v>Inorganic &amp; Organic Chemistry</v>
      </c>
      <c r="C84" t="s">
        <v>20</v>
      </c>
      <c r="D84" t="s">
        <v>6</v>
      </c>
      <c r="E84" t="s">
        <v>5</v>
      </c>
      <c r="F84" t="s">
        <v>156</v>
      </c>
      <c r="G84" t="s">
        <v>14</v>
      </c>
      <c r="H84" t="s">
        <v>2</v>
      </c>
      <c r="I84" t="s">
        <v>32</v>
      </c>
      <c r="J84" t="s">
        <v>160</v>
      </c>
    </row>
    <row r="85" spans="1:10" x14ac:dyDescent="0.25">
      <c r="A85" t="str">
        <f>_xlfn.TEXTBEFORE(Table1[[#This Row],[Scheme Line]]," - ")</f>
        <v>CH-113</v>
      </c>
      <c r="B85" t="str">
        <f>_xlfn.TEXTAFTER(Table1[[#This Row],[Scheme Line]]," - ")</f>
        <v>Inorganic &amp; Organic Chemistry</v>
      </c>
      <c r="C85" t="s">
        <v>16</v>
      </c>
      <c r="D85" t="s">
        <v>6</v>
      </c>
      <c r="E85" t="s">
        <v>5</v>
      </c>
      <c r="F85" t="s">
        <v>156</v>
      </c>
      <c r="G85" t="s">
        <v>19</v>
      </c>
      <c r="H85" t="s">
        <v>2</v>
      </c>
      <c r="I85" t="s">
        <v>18</v>
      </c>
      <c r="J85" t="s">
        <v>161</v>
      </c>
    </row>
    <row r="86" spans="1:10" x14ac:dyDescent="0.25">
      <c r="A86" t="str">
        <f>_xlfn.TEXTBEFORE(Table1[[#This Row],[Scheme Line]]," - ")</f>
        <v>CH-113</v>
      </c>
      <c r="B86" t="str">
        <f>_xlfn.TEXTAFTER(Table1[[#This Row],[Scheme Line]]," - ")</f>
        <v>Inorganic &amp; Organic Chemistry</v>
      </c>
      <c r="C86" t="s">
        <v>30</v>
      </c>
      <c r="D86" t="s">
        <v>6</v>
      </c>
      <c r="E86" t="s">
        <v>5</v>
      </c>
      <c r="F86" t="s">
        <v>156</v>
      </c>
      <c r="G86" t="s">
        <v>43</v>
      </c>
      <c r="H86" t="s">
        <v>2</v>
      </c>
      <c r="I86" t="s">
        <v>18</v>
      </c>
      <c r="J86" t="s">
        <v>162</v>
      </c>
    </row>
    <row r="87" spans="1:10" x14ac:dyDescent="0.25">
      <c r="A87" t="str">
        <f>_xlfn.TEXTBEFORE(Table1[[#This Row],[Scheme Line]]," - ")</f>
        <v>CH-113</v>
      </c>
      <c r="B87" t="str">
        <f>_xlfn.TEXTAFTER(Table1[[#This Row],[Scheme Line]]," - ")</f>
        <v>Inorganic &amp; Organic Chemistry</v>
      </c>
      <c r="C87" t="s">
        <v>41</v>
      </c>
      <c r="D87" t="s">
        <v>6</v>
      </c>
      <c r="E87" t="s">
        <v>5</v>
      </c>
      <c r="F87" t="s">
        <v>156</v>
      </c>
      <c r="G87" t="s">
        <v>35</v>
      </c>
      <c r="H87" t="s">
        <v>2</v>
      </c>
      <c r="I87" t="s">
        <v>34</v>
      </c>
      <c r="J87" t="s">
        <v>163</v>
      </c>
    </row>
    <row r="88" spans="1:10" x14ac:dyDescent="0.25">
      <c r="A88" t="str">
        <f>_xlfn.TEXTBEFORE(Table1[[#This Row],[Scheme Line]]," - ")</f>
        <v>HU-127</v>
      </c>
      <c r="B88" t="str">
        <f>_xlfn.TEXTAFTER(Table1[[#This Row],[Scheme Line]]," - ")</f>
        <v>Ideology and Constitution of Pakistan</v>
      </c>
      <c r="C88" t="s">
        <v>11</v>
      </c>
      <c r="D88" t="s">
        <v>6</v>
      </c>
      <c r="E88" t="s">
        <v>5</v>
      </c>
      <c r="F88" t="s">
        <v>184</v>
      </c>
      <c r="G88" t="s">
        <v>99</v>
      </c>
      <c r="H88" t="s">
        <v>50</v>
      </c>
      <c r="I88" t="s">
        <v>49</v>
      </c>
      <c r="J88" t="s">
        <v>190</v>
      </c>
    </row>
    <row r="89" spans="1:10" x14ac:dyDescent="0.25">
      <c r="A89" t="str">
        <f>_xlfn.TEXTBEFORE(Table1[[#This Row],[Scheme Line]]," - ")</f>
        <v>HU-127</v>
      </c>
      <c r="B89" t="str">
        <f>_xlfn.TEXTAFTER(Table1[[#This Row],[Scheme Line]]," - ")</f>
        <v>Ideology and Constitution of Pakistan</v>
      </c>
      <c r="C89" t="s">
        <v>9</v>
      </c>
      <c r="D89" t="s">
        <v>6</v>
      </c>
      <c r="E89" t="s">
        <v>5</v>
      </c>
      <c r="F89" t="s">
        <v>184</v>
      </c>
      <c r="G89" t="s">
        <v>43</v>
      </c>
      <c r="H89" t="s">
        <v>2</v>
      </c>
      <c r="I89" t="s">
        <v>1</v>
      </c>
      <c r="J89" t="s">
        <v>191</v>
      </c>
    </row>
    <row r="90" spans="1:10" x14ac:dyDescent="0.25">
      <c r="A90" t="str">
        <f>_xlfn.TEXTBEFORE(Table1[[#This Row],[Scheme Line]]," - ")</f>
        <v>ENGL-101</v>
      </c>
      <c r="B90" t="str">
        <f>_xlfn.TEXTAFTER(Table1[[#This Row],[Scheme Line]]," - ")</f>
        <v>Expository Writing</v>
      </c>
      <c r="C90" t="s">
        <v>11</v>
      </c>
      <c r="D90" t="s">
        <v>6</v>
      </c>
      <c r="E90" t="s">
        <v>5</v>
      </c>
      <c r="F90" t="s">
        <v>185</v>
      </c>
      <c r="G90" t="s">
        <v>19</v>
      </c>
      <c r="H90" t="s">
        <v>50</v>
      </c>
      <c r="I90" t="s">
        <v>49</v>
      </c>
      <c r="J90" t="s">
        <v>186</v>
      </c>
    </row>
    <row r="91" spans="1:10" x14ac:dyDescent="0.25">
      <c r="A91" t="str">
        <f>_xlfn.TEXTBEFORE(Table1[[#This Row],[Scheme Line]]," - ")</f>
        <v>ENGL-101</v>
      </c>
      <c r="B91" t="str">
        <f>_xlfn.TEXTAFTER(Table1[[#This Row],[Scheme Line]]," - ")</f>
        <v>Expository Writing</v>
      </c>
      <c r="C91" t="s">
        <v>9</v>
      </c>
      <c r="D91" t="s">
        <v>6</v>
      </c>
      <c r="E91" t="s">
        <v>5</v>
      </c>
      <c r="F91" t="s">
        <v>185</v>
      </c>
      <c r="G91" t="s">
        <v>99</v>
      </c>
      <c r="H91" t="s">
        <v>2</v>
      </c>
      <c r="I91" t="s">
        <v>34</v>
      </c>
      <c r="J91" t="s">
        <v>187</v>
      </c>
    </row>
    <row r="92" spans="1:10" x14ac:dyDescent="0.25">
      <c r="A92" t="str">
        <f>_xlfn.TEXTBEFORE(Table1[[#This Row],[Scheme Line]]," - ")</f>
        <v>HU-132</v>
      </c>
      <c r="B92" t="str">
        <f>_xlfn.TEXTAFTER(Table1[[#This Row],[Scheme Line]]," - ")</f>
        <v>Understanding of Quran-II</v>
      </c>
      <c r="C92" t="s">
        <v>11</v>
      </c>
      <c r="D92" t="s">
        <v>6</v>
      </c>
      <c r="E92" t="s">
        <v>5</v>
      </c>
      <c r="F92" t="s">
        <v>188</v>
      </c>
      <c r="G92" t="s">
        <v>99</v>
      </c>
      <c r="H92" t="s">
        <v>50</v>
      </c>
      <c r="I92" t="s">
        <v>49</v>
      </c>
      <c r="J92" t="s">
        <v>189</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8838-1632-47C8-8457-F77ECDBED0BB}">
  <dimension ref="A1:B17"/>
  <sheetViews>
    <sheetView workbookViewId="0">
      <selection activeCell="D18" sqref="D18"/>
    </sheetView>
  </sheetViews>
  <sheetFormatPr defaultRowHeight="15" x14ac:dyDescent="0.25"/>
  <sheetData>
    <row r="1" spans="1:2" x14ac:dyDescent="0.25">
      <c r="A1" t="s">
        <v>139</v>
      </c>
      <c r="B1" t="s">
        <v>138</v>
      </c>
    </row>
    <row r="2" spans="1:2" x14ac:dyDescent="0.25">
      <c r="A2" t="s">
        <v>140</v>
      </c>
      <c r="B2" t="s">
        <v>137</v>
      </c>
    </row>
    <row r="3" spans="1:2" x14ac:dyDescent="0.25">
      <c r="A3" t="s">
        <v>141</v>
      </c>
      <c r="B3" t="s">
        <v>136</v>
      </c>
    </row>
    <row r="4" spans="1:2" x14ac:dyDescent="0.25">
      <c r="A4" t="s">
        <v>142</v>
      </c>
      <c r="B4" t="s">
        <v>135</v>
      </c>
    </row>
    <row r="6" spans="1:2" x14ac:dyDescent="0.25">
      <c r="A6" t="s">
        <v>23</v>
      </c>
      <c r="B6" t="s">
        <v>144</v>
      </c>
    </row>
    <row r="7" spans="1:2" x14ac:dyDescent="0.25">
      <c r="A7" t="s">
        <v>3</v>
      </c>
      <c r="B7" t="s">
        <v>145</v>
      </c>
    </row>
    <row r="8" spans="1:2" x14ac:dyDescent="0.25">
      <c r="A8" t="s">
        <v>111</v>
      </c>
      <c r="B8" t="s">
        <v>146</v>
      </c>
    </row>
    <row r="9" spans="1:2" x14ac:dyDescent="0.25">
      <c r="A9" t="s">
        <v>35</v>
      </c>
      <c r="B9" t="s">
        <v>147</v>
      </c>
    </row>
    <row r="10" spans="1:2" x14ac:dyDescent="0.25">
      <c r="A10" t="s">
        <v>14</v>
      </c>
      <c r="B10" t="s">
        <v>148</v>
      </c>
    </row>
    <row r="11" spans="1:2" x14ac:dyDescent="0.25">
      <c r="A11" t="s">
        <v>43</v>
      </c>
      <c r="B11" t="s">
        <v>149</v>
      </c>
    </row>
    <row r="12" spans="1:2" x14ac:dyDescent="0.25">
      <c r="A12" t="s">
        <v>143</v>
      </c>
      <c r="B12" t="s">
        <v>150</v>
      </c>
    </row>
    <row r="13" spans="1:2" x14ac:dyDescent="0.25">
      <c r="A13" t="s">
        <v>26</v>
      </c>
      <c r="B13" t="s">
        <v>151</v>
      </c>
    </row>
    <row r="14" spans="1:2" x14ac:dyDescent="0.25">
      <c r="A14" t="s">
        <v>19</v>
      </c>
      <c r="B14" t="s">
        <v>152</v>
      </c>
    </row>
    <row r="15" spans="1:2" x14ac:dyDescent="0.25">
      <c r="A15" t="s">
        <v>89</v>
      </c>
      <c r="B15" t="s">
        <v>153</v>
      </c>
    </row>
    <row r="16" spans="1:2" x14ac:dyDescent="0.25">
      <c r="A16" t="s">
        <v>99</v>
      </c>
      <c r="B16" t="s">
        <v>154</v>
      </c>
    </row>
    <row r="17" spans="1:2" x14ac:dyDescent="0.25">
      <c r="A17" t="s">
        <v>96</v>
      </c>
      <c r="B17" t="s">
        <v>155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Qalam_CLOs</vt:lpstr>
      <vt:lpstr>PEO_and_PLO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Haider Ejaz</dc:creator>
  <cp:lastModifiedBy>Dr. Haider Ejaz</cp:lastModifiedBy>
  <dcterms:created xsi:type="dcterms:W3CDTF">2026-05-13T06:56:40Z</dcterms:created>
  <dcterms:modified xsi:type="dcterms:W3CDTF">2026-05-20T09:57:35Z</dcterms:modified>
</cp:coreProperties>
</file>